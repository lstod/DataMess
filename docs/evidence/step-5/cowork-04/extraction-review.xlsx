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voices" sheetId="2" state="visible" r:id="rId2"/>
    <sheet xmlns:r="http://schemas.openxmlformats.org/officeDocument/2006/relationships" name="Engagements" sheetId="3" state="visible" r:id="rId3"/>
    <sheet xmlns:r="http://schemas.openxmlformats.org/officeDocument/2006/relationships" name="Exceptions" sheetId="4" state="visible" r:id="rId4"/>
    <sheet xmlns:r="http://schemas.openxmlformats.org/officeDocument/2006/relationships" name="Q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8B0"/>
      </patternFill>
    </fill>
    <fill>
      <patternFill patternType="solid">
        <fgColor rgb="00F8C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4" fontId="2" fillId="0" borderId="0" pivotButton="0" quotePrefix="0" xfId="0"/>
    <xf numFmtId="0" fontId="0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 wrapText="1"/>
    </xf>
    <xf numFmtId="4" fontId="0" fillId="0" borderId="0" pivotButton="0" quotePrefix="0" xfId="0"/>
    <xf numFmtId="0" fontId="0" fillId="3" borderId="0" pivotButton="0" quotePrefix="0" xfId="0"/>
    <xf numFmtId="4" fontId="0" fillId="4" borderId="0" pivotButton="0" quotePrefix="0" xfId="0"/>
    <xf numFmtId="4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E8B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DocMess</author>
  </authors>
  <commentList>
    <comment ref="F16" authorId="0" shapeId="0">
      <text>
        <t>low: written 03/06/2026; resolved day-first because the billing period is May 2026 and the SOW invoices monthly in arrears, which puts issue in early June rather than 06 March</t>
      </text>
    </comment>
    <comment ref="G16" authorId="0" shapeId="0">
      <text>
        <t>low: written 03/07/2026; resolved day-first to match the issue date read the same way, and consistent with the printed Net 30 terms</t>
      </text>
    </comment>
    <comment ref="H27" authorId="0" shapeId="0">
      <text>
        <t>unreadable: the page ends immediately below the line-item table; the totals block was cut off by the scanner margin and is not on the page</t>
      </text>
    </comment>
    <comment ref="I27" authorId="0" shapeId="0">
      <text>
        <t>unreadable: the page ends immediately below the line-item table; the totals block was cut off by the scanner margin and is not on the page</t>
      </text>
    </comment>
    <comment ref="J27" authorId="0" shapeId="0">
      <text>
        <t>unreadable: the page ends immediately below the line-item table; the totals block was cut off by the scanner margin and is not on the page</t>
      </text>
    </comment>
    <comment ref="K27" authorId="0" shapeId="0">
      <text>
        <t>unreadable: the page ends immediately below the line-item table; the totals block was cut off by the scanner margin and is not on the page</t>
      </text>
    </comment>
    <comment ref="L27" authorId="0" shapeId="0">
      <text>
        <t>unreadable: the page ends immediately below the line-item table; the totals block was cut off by the scanner margin and is not on the page. Not derived from the three visible line amounts: this invoice carries a retainer credit between subtotal and net, so the total is not the sum of the amount column. REM-2026-8461 (scan_20260814_123410.pdf) states 34,906.40 settled against this invoice number, which is a figure for a reviewer to confirm against a clean copy, not a figure this document asserts</t>
      </text>
    </comment>
    <comment ref="M30" authorId="0" shapeId="0">
      <text>
        <t>low: the printed value is recorded; a handwritten note in the margin below it reads "net 14 days not 30 -- agreed w/ MJ 12/8", which contradicts the printed terms. Neither has been preferred - the conflict needs a human decision, and the due date printed on the page is still 30 days after issue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58" customWidth="1" min="3" max="3"/>
  </cols>
  <sheetData>
    <row r="1">
      <c r="A1" s="1" t="inlineStr">
        <is>
          <t>Extraction review</t>
        </is>
      </c>
    </row>
    <row r="2">
      <c r="A2" t="inlineStr">
        <is>
          <t>Source: extractions.json</t>
        </is>
      </c>
    </row>
    <row r="3">
      <c r="A3" t="inlineStr">
        <is>
          <t>74 document records</t>
        </is>
      </c>
    </row>
    <row r="5">
      <c r="A5" s="2" t="inlineStr">
        <is>
          <t>Documents by type</t>
        </is>
      </c>
    </row>
    <row r="6">
      <c r="A6" t="inlineStr">
        <is>
          <t>sow</t>
        </is>
      </c>
      <c r="B6" t="n">
        <v>18</v>
      </c>
    </row>
    <row r="7">
      <c r="A7" t="inlineStr">
        <is>
          <t>sow_amendment</t>
        </is>
      </c>
      <c r="B7" t="n">
        <v>6</v>
      </c>
    </row>
    <row r="8">
      <c r="A8" t="inlineStr">
        <is>
          <t>invoice</t>
        </is>
      </c>
      <c r="B8" t="n">
        <v>36</v>
      </c>
    </row>
    <row r="9">
      <c r="A9" t="inlineStr">
        <is>
          <t>remittance</t>
        </is>
      </c>
      <c r="B9" t="n">
        <v>8</v>
      </c>
    </row>
    <row r="10">
      <c r="A10" t="inlineStr">
        <is>
          <t>statement</t>
        </is>
      </c>
      <c r="B10" t="n">
        <v>2</v>
      </c>
    </row>
    <row r="11">
      <c r="A11" t="inlineStr">
        <is>
          <t>out_of_scope</t>
        </is>
      </c>
      <c r="B11" t="n">
        <v>4</v>
      </c>
    </row>
    <row r="12">
      <c r="A12" s="2" t="inlineStr">
        <is>
          <t>Total documents</t>
        </is>
      </c>
      <c r="B12" s="2">
        <f>SUM(B6:B11)</f>
        <v/>
      </c>
    </row>
    <row r="14">
      <c r="A14" s="2" t="inlineStr">
        <is>
          <t>Figures</t>
        </is>
      </c>
    </row>
    <row r="15">
      <c r="A15" t="inlineStr">
        <is>
          <t>Total invoiced</t>
        </is>
      </c>
      <c r="B15" s="3">
        <f>'Invoices'!L39</f>
        <v/>
      </c>
      <c r="C15" s="4" t="inlineStr">
        <is>
          <t>the Invoices tab's own total, which is a SUM over its rows -- click through</t>
        </is>
      </c>
    </row>
    <row r="16">
      <c r="A16" t="inlineStr">
        <is>
          <t>Invoices extracted</t>
        </is>
      </c>
      <c r="B16" s="2">
        <f>COUNTA('Invoices'!A2:A237)</f>
        <v/>
      </c>
      <c r="C16" s="4" t="inlineStr">
        <is>
          <t>rows on the Invoices tab</t>
        </is>
      </c>
    </row>
    <row r="17">
      <c r="A17" t="inlineStr">
        <is>
          <t>Invoices missing a total</t>
        </is>
      </c>
      <c r="B17" s="2">
        <f>COUNTBLANK('Invoices'!L2:L37)</f>
        <v/>
      </c>
      <c r="C17" s="4" t="inlineStr">
        <is>
          <t>a blank total is an unreadable figure, not a zero</t>
        </is>
      </c>
    </row>
    <row r="18">
      <c r="A18" t="inlineStr">
        <is>
          <t>Engagements under contract</t>
        </is>
      </c>
      <c r="B18" s="2">
        <f>COUNTA('Engagements'!A2:A19)</f>
        <v/>
      </c>
      <c r="C18" s="4" t="inlineStr">
        <is>
          <t>one per SOW, with any amendment applied in the Current ceiling column</t>
        </is>
      </c>
    </row>
    <row r="19">
      <c r="A19" t="inlineStr">
        <is>
          <t>Fields flagged for review</t>
        </is>
      </c>
      <c r="B19" s="2">
        <f>COUNTA('QA'!C2:C13)</f>
        <v/>
      </c>
      <c r="C19" s="4" t="inlineStr">
        <is>
          <t>every low and unreadable field, listed on the QA tab with its evidence</t>
        </is>
      </c>
    </row>
    <row r="20">
      <c r="A20" t="inlineStr">
        <is>
          <t xml:space="preserve">  of which unreadable</t>
        </is>
      </c>
      <c r="B20" s="2">
        <f>COUNTIF('QA'!D2:D13,"unreadable")</f>
        <v/>
      </c>
      <c r="C20" s="4" t="inlineStr">
        <is>
          <t>the figure was not on the page. Never guessed</t>
        </is>
      </c>
    </row>
    <row r="21">
      <c r="A21" t="inlineStr">
        <is>
          <t xml:space="preserve">  of which low confidence</t>
        </is>
      </c>
      <c r="B21" s="2">
        <f>COUNTIF('QA'!D2:D13,"low")</f>
        <v/>
      </c>
      <c r="C21" s="4" t="inlineStr">
        <is>
          <t>read, but the reading depends on an inference that is written down</t>
        </is>
      </c>
    </row>
    <row r="22">
      <c r="A22" t="inlineStr">
        <is>
          <t>Exceptions to resolve</t>
        </is>
      </c>
      <c r="B22" s="2">
        <f>COUNTA('Exceptions'!A2:A22)</f>
        <v/>
      </c>
      <c r="C22" s="4" t="inlineStr">
        <is>
          <t>duplicates, supersessions, out-of-scope documents and unreadable figures</t>
        </is>
      </c>
    </row>
    <row r="23">
      <c r="A23" t="inlineStr">
        <is>
          <t>Reviewed</t>
        </is>
      </c>
      <c r="B23" s="2">
        <f>COUNTA('QA'!I2:I13)</f>
        <v/>
      </c>
      <c r="C23" s="4" t="inlineStr">
        <is>
          <t>fills in as somebody works down the Verdict column on the QA tab</t>
        </is>
      </c>
    </row>
    <row r="25">
      <c r="A25" s="2" t="inlineStr">
        <is>
          <t>Every figure under Figures is a formula.</t>
        </is>
      </c>
    </row>
    <row r="26">
      <c r="A26" t="inlineStr">
        <is>
          <t>Click one and follow it through to the rows it came from. Nothing there was computed and typed in.</t>
        </is>
      </c>
    </row>
    <row r="27">
      <c r="A27" t="inlineStr">
        <is>
          <t>The counts under Documents by type are a census of the extraction itself, so they are values.</t>
        </is>
      </c>
    </row>
    <row r="28">
      <c r="A28" t="inlineStr">
        <is>
          <t>Amber means low confidence, red means unreadable. Hover any filled cell for the reason.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2" customWidth="1" min="4" max="4"/>
    <col width="11" customWidth="1" min="5" max="5"/>
    <col width="13" customWidth="1" min="6" max="6"/>
    <col width="13" customWidth="1" min="7" max="7"/>
    <col width="14" customWidth="1" min="8" max="8"/>
    <col width="15" customWidth="1" min="9" max="9"/>
    <col width="14" customWidth="1" min="10" max="10"/>
    <col width="12" customWidth="1" min="11" max="11"/>
    <col width="14" customWidth="1" min="12" max="12"/>
    <col width="30" customWidth="1" min="13" max="13"/>
    <col width="34" customWidth="1" min="14" max="14"/>
    <col width="9" customWidth="1" min="15" max="15"/>
  </cols>
  <sheetData>
    <row r="1">
      <c r="A1" s="5" t="inlineStr">
        <is>
          <t>Invoice</t>
        </is>
      </c>
      <c r="B1" s="5" t="inlineStr">
        <is>
          <t>Client</t>
        </is>
      </c>
      <c r="C1" s="5" t="inlineStr">
        <is>
          <t>Engagement</t>
        </is>
      </c>
      <c r="D1" s="5" t="inlineStr">
        <is>
          <t>PO</t>
        </is>
      </c>
      <c r="E1" s="5" t="inlineStr">
        <is>
          <t>Period</t>
        </is>
      </c>
      <c r="F1" s="5" t="inlineStr">
        <is>
          <t>Issued</t>
        </is>
      </c>
      <c r="G1" s="5" t="inlineStr">
        <is>
          <t>Due</t>
        </is>
      </c>
      <c r="H1" s="5" t="inlineStr">
        <is>
          <t>Subtotal</t>
        </is>
      </c>
      <c r="I1" s="5" t="inlineStr">
        <is>
          <t>Retainer credit</t>
        </is>
      </c>
      <c r="J1" s="5" t="inlineStr">
        <is>
          <t>Net</t>
        </is>
      </c>
      <c r="K1" s="5" t="inlineStr">
        <is>
          <t>VAT</t>
        </is>
      </c>
      <c r="L1" s="5" t="inlineStr">
        <is>
          <t>Total due</t>
        </is>
      </c>
      <c r="M1" s="5" t="inlineStr">
        <is>
          <t>Terms</t>
        </is>
      </c>
      <c r="N1" s="5" t="inlineStr">
        <is>
          <t>Source file</t>
        </is>
      </c>
      <c r="O1" s="5" t="inlineStr">
        <is>
          <t>Pages</t>
        </is>
      </c>
    </row>
    <row r="2">
      <c r="A2" t="inlineStr">
        <is>
          <t>INV-2026-0876</t>
        </is>
      </c>
      <c r="B2" t="inlineStr">
        <is>
          <t>Oakhaven Logistics Collective</t>
        </is>
      </c>
      <c r="C2" t="inlineStr">
        <is>
          <t>SOW-2026-002</t>
        </is>
      </c>
      <c r="D2" t="inlineStr">
        <is>
          <t>PO-80678</t>
        </is>
      </c>
      <c r="E2" t="inlineStr">
        <is>
          <t>2026-06</t>
        </is>
      </c>
      <c r="F2" t="inlineStr">
        <is>
          <t>2026-07-09</t>
        </is>
      </c>
      <c r="G2" t="inlineStr">
        <is>
          <t>2026-08-08</t>
        </is>
      </c>
      <c r="H2" s="6" t="n">
        <v>79912.83</v>
      </c>
      <c r="I2" s="6" t="n">
        <v>-9814.23</v>
      </c>
      <c r="J2" s="6" t="n">
        <v>70098.60000000001</v>
      </c>
      <c r="K2" s="6" t="n">
        <v>14019.72</v>
      </c>
      <c r="L2" s="6" t="n">
        <v>84118.32000000001</v>
      </c>
      <c r="M2" t="inlineStr">
        <is>
          <t>Net 30 days from date of issue</t>
        </is>
      </c>
      <c r="N2" t="inlineStr">
        <is>
          <t>INV-2026-0876.pdf</t>
        </is>
      </c>
      <c r="O2" t="inlineStr">
        <is>
          <t>1</t>
        </is>
      </c>
    </row>
    <row r="3">
      <c r="A3" t="inlineStr">
        <is>
          <t>INV-2026-0906</t>
        </is>
      </c>
      <c r="B3" t="inlineStr">
        <is>
          <t>Ashcombe Health Partners</t>
        </is>
      </c>
      <c r="C3" t="inlineStr">
        <is>
          <t>SOW-2026-003</t>
        </is>
      </c>
      <c r="D3" t="inlineStr">
        <is>
          <t>PO-57052</t>
        </is>
      </c>
      <c r="E3" t="inlineStr">
        <is>
          <t>2026-05</t>
        </is>
      </c>
      <c r="F3" t="inlineStr">
        <is>
          <t>2026-06-04</t>
        </is>
      </c>
      <c r="G3" t="inlineStr">
        <is>
          <t>2026-07-04</t>
        </is>
      </c>
      <c r="H3" s="6" t="n">
        <v>17337.79</v>
      </c>
      <c r="I3" s="6" t="n">
        <v>-1293.79</v>
      </c>
      <c r="J3" s="6" t="n">
        <v>16044</v>
      </c>
      <c r="K3" s="6" t="n">
        <v>3208.8</v>
      </c>
      <c r="L3" s="6" t="n">
        <v>19252.8</v>
      </c>
      <c r="M3" t="inlineStr">
        <is>
          <t>Net 30 days from date of issue</t>
        </is>
      </c>
      <c r="N3" t="inlineStr">
        <is>
          <t>INV-2026-0906.pdf</t>
        </is>
      </c>
      <c r="O3" t="inlineStr">
        <is>
          <t>1</t>
        </is>
      </c>
    </row>
    <row r="4">
      <c r="A4" t="inlineStr">
        <is>
          <t>INV-2026-0912</t>
        </is>
      </c>
      <c r="B4" t="inlineStr">
        <is>
          <t>Ashcombe Health Partners</t>
        </is>
      </c>
      <c r="C4" t="inlineStr">
        <is>
          <t>SOW-2026-003</t>
        </is>
      </c>
      <c r="D4" t="inlineStr">
        <is>
          <t>PO-63883</t>
        </is>
      </c>
      <c r="E4" t="inlineStr">
        <is>
          <t>2026-06</t>
        </is>
      </c>
      <c r="F4" t="inlineStr">
        <is>
          <t>2026-07-07</t>
        </is>
      </c>
      <c r="G4" t="inlineStr">
        <is>
          <t>2026-08-06</t>
        </is>
      </c>
      <c r="H4" s="6" t="n">
        <v>28951.42</v>
      </c>
      <c r="I4" s="6" t="n">
        <v>-4214.42</v>
      </c>
      <c r="J4" s="6" t="n">
        <v>24737</v>
      </c>
      <c r="K4" s="6" t="n">
        <v>4947.4</v>
      </c>
      <c r="L4" s="6" t="n">
        <v>29684.4</v>
      </c>
      <c r="M4" t="inlineStr">
        <is>
          <t>Net 30 days from date of issue</t>
        </is>
      </c>
      <c r="N4" t="inlineStr">
        <is>
          <t>scan_20260814_114082.pdf</t>
        </is>
      </c>
      <c r="O4" t="inlineStr">
        <is>
          <t>1</t>
        </is>
      </c>
    </row>
    <row r="5">
      <c r="A5" t="inlineStr">
        <is>
          <t>INV-2026-0918</t>
        </is>
      </c>
      <c r="B5" t="inlineStr">
        <is>
          <t>Ashcombe Health Partners</t>
        </is>
      </c>
      <c r="C5" t="inlineStr">
        <is>
          <t>SOW-2026-003</t>
        </is>
      </c>
      <c r="D5" t="inlineStr">
        <is>
          <t>PO-93507</t>
        </is>
      </c>
      <c r="E5" t="inlineStr">
        <is>
          <t>2026-07</t>
        </is>
      </c>
      <c r="F5" t="inlineStr">
        <is>
          <t>2026-08-08</t>
        </is>
      </c>
      <c r="G5" t="inlineStr">
        <is>
          <t>2026-09-07</t>
        </is>
      </c>
      <c r="H5" s="6" t="n">
        <v>14360.33</v>
      </c>
      <c r="I5" s="6" t="n">
        <v>-717.83</v>
      </c>
      <c r="J5" s="6" t="n">
        <v>13642.5</v>
      </c>
      <c r="K5" s="6" t="n">
        <v>2728.5</v>
      </c>
      <c r="L5" s="6" t="n">
        <v>16371</v>
      </c>
      <c r="M5" t="inlineStr">
        <is>
          <t>Net 30 days from date of issue</t>
        </is>
      </c>
      <c r="N5" t="inlineStr">
        <is>
          <t>scan_20260814_114765.pdf</t>
        </is>
      </c>
      <c r="O5" t="inlineStr">
        <is>
          <t>1</t>
        </is>
      </c>
    </row>
    <row r="6">
      <c r="A6" t="inlineStr">
        <is>
          <t>INV-2026-0966</t>
        </is>
      </c>
      <c r="B6" t="inlineStr">
        <is>
          <t>Pentland Media Group</t>
        </is>
      </c>
      <c r="C6" t="inlineStr">
        <is>
          <t>SOW-2026-005</t>
        </is>
      </c>
      <c r="D6" t="inlineStr">
        <is>
          <t>PO-58393</t>
        </is>
      </c>
      <c r="E6" t="inlineStr">
        <is>
          <t>2026-07</t>
        </is>
      </c>
      <c r="F6" t="inlineStr">
        <is>
          <t>2026-07-25</t>
        </is>
      </c>
      <c r="G6" t="inlineStr">
        <is>
          <t>2026-08-24</t>
        </is>
      </c>
      <c r="H6" s="6" t="n">
        <v>33546.78</v>
      </c>
      <c r="I6" s="6" t="n">
        <v>-5830.44</v>
      </c>
      <c r="J6" s="6" t="n">
        <v>27716.34</v>
      </c>
      <c r="K6" s="6" t="n">
        <v>5543.27</v>
      </c>
      <c r="L6" s="6" t="n">
        <v>33259.61</v>
      </c>
      <c r="M6" t="inlineStr">
        <is>
          <t>Net 30 days from date of issue</t>
        </is>
      </c>
      <c r="N6" t="inlineStr">
        <is>
          <t>INV-2026-0966.pdf</t>
        </is>
      </c>
      <c r="O6" t="inlineStr">
        <is>
          <t>1</t>
        </is>
      </c>
    </row>
    <row r="7">
      <c r="A7" t="inlineStr">
        <is>
          <t>INV-2026-1032</t>
        </is>
      </c>
      <c r="B7" t="inlineStr">
        <is>
          <t>Braemar Retail Corporation</t>
        </is>
      </c>
      <c r="C7" t="inlineStr">
        <is>
          <t>SOW-2026-007</t>
        </is>
      </c>
      <c r="D7" t="inlineStr">
        <is>
          <t>PO-19116</t>
        </is>
      </c>
      <c r="E7" t="inlineStr">
        <is>
          <t>2026-05</t>
        </is>
      </c>
      <c r="F7" t="inlineStr">
        <is>
          <t>2026-06-07</t>
        </is>
      </c>
      <c r="G7" t="inlineStr">
        <is>
          <t>2026-07-07</t>
        </is>
      </c>
      <c r="H7" s="6" t="n">
        <v>29279.55</v>
      </c>
      <c r="I7" s="6" t="n">
        <v>-4053.55</v>
      </c>
      <c r="J7" s="6" t="n">
        <v>25226</v>
      </c>
      <c r="K7" s="6" t="n">
        <v>5045.2</v>
      </c>
      <c r="L7" s="6" t="n">
        <v>30271.2</v>
      </c>
      <c r="M7" t="inlineStr">
        <is>
          <t>Net 30 days from date of issue</t>
        </is>
      </c>
      <c r="N7" t="inlineStr">
        <is>
          <t>scan_20260814_115456.pdf</t>
        </is>
      </c>
      <c r="O7" t="inlineStr">
        <is>
          <t>1</t>
        </is>
      </c>
    </row>
    <row r="8">
      <c r="A8" t="inlineStr">
        <is>
          <t>INV-2026-1038</t>
        </is>
      </c>
      <c r="B8" t="inlineStr">
        <is>
          <t>Braemar Retail Corporation</t>
        </is>
      </c>
      <c r="C8" t="inlineStr">
        <is>
          <t>SOW-2026-007</t>
        </is>
      </c>
      <c r="D8" t="inlineStr">
        <is>
          <t>PO-65296</t>
        </is>
      </c>
      <c r="E8" t="inlineStr">
        <is>
          <t>2026-06</t>
        </is>
      </c>
      <c r="F8" t="inlineStr">
        <is>
          <t>2026-07-03</t>
        </is>
      </c>
      <c r="G8" t="inlineStr">
        <is>
          <t>2026-08-02</t>
        </is>
      </c>
      <c r="H8" s="6" t="n">
        <v>32064.86</v>
      </c>
      <c r="I8" s="6" t="n">
        <v>-4422.78</v>
      </c>
      <c r="J8" s="6" t="n">
        <v>27642.08</v>
      </c>
      <c r="K8" s="6" t="n">
        <v>5528.42</v>
      </c>
      <c r="L8" s="6" t="n">
        <v>33170.5</v>
      </c>
      <c r="M8" t="inlineStr">
        <is>
          <t>Net 30 days from date of issue</t>
        </is>
      </c>
      <c r="N8" t="inlineStr">
        <is>
          <t>INV-2026-1038.pdf</t>
        </is>
      </c>
      <c r="O8" t="inlineStr">
        <is>
          <t>1</t>
        </is>
      </c>
    </row>
    <row r="9">
      <c r="A9" t="inlineStr">
        <is>
          <t>INV-2026-1044</t>
        </is>
      </c>
      <c r="B9" t="inlineStr">
        <is>
          <t>Braemar Retail Corporation</t>
        </is>
      </c>
      <c r="C9" t="inlineStr">
        <is>
          <t>SOW-2026-007</t>
        </is>
      </c>
      <c r="D9" t="inlineStr">
        <is>
          <t>PO-63264</t>
        </is>
      </c>
      <c r="E9" t="inlineStr">
        <is>
          <t>2026-07</t>
        </is>
      </c>
      <c r="F9" t="inlineStr">
        <is>
          <t>2026-08-07</t>
        </is>
      </c>
      <c r="G9" t="inlineStr">
        <is>
          <t>2026-09-06</t>
        </is>
      </c>
      <c r="H9" s="6" t="n">
        <v>37653.79</v>
      </c>
      <c r="I9" s="6" t="n">
        <v>-4332.29</v>
      </c>
      <c r="J9" s="6" t="n">
        <v>33321.5</v>
      </c>
      <c r="K9" s="6" t="n">
        <v>6664.3</v>
      </c>
      <c r="L9" s="6" t="n">
        <v>39985.8</v>
      </c>
      <c r="M9" t="inlineStr">
        <is>
          <t>Net 30 days from date of issue</t>
        </is>
      </c>
      <c r="N9" t="inlineStr">
        <is>
          <t>scan_20260814_115806.pdf</t>
        </is>
      </c>
      <c r="O9" t="inlineStr">
        <is>
          <t>1</t>
        </is>
      </c>
    </row>
    <row r="10">
      <c r="A10" t="inlineStr">
        <is>
          <t>INV-2026-1050</t>
        </is>
      </c>
      <c r="B10" t="inlineStr">
        <is>
          <t>Braemar Retail Corporation</t>
        </is>
      </c>
      <c r="C10" t="inlineStr">
        <is>
          <t>SOW-2025-008</t>
        </is>
      </c>
      <c r="D10" t="inlineStr">
        <is>
          <t>PO-31319</t>
        </is>
      </c>
      <c r="E10" t="inlineStr">
        <is>
          <t>2026-05</t>
        </is>
      </c>
      <c r="F10" t="inlineStr">
        <is>
          <t>2026-05-23</t>
        </is>
      </c>
      <c r="G10" t="inlineStr">
        <is>
          <t>2026-06-22</t>
        </is>
      </c>
      <c r="H10" s="6" t="n">
        <v>37279.1</v>
      </c>
      <c r="I10" s="6" t="n">
        <v>-2128.33</v>
      </c>
      <c r="J10" s="6" t="n">
        <v>35150.77</v>
      </c>
      <c r="K10" s="6" t="n">
        <v>7030.15</v>
      </c>
      <c r="L10" s="6" t="n">
        <v>42180.92</v>
      </c>
      <c r="M10" t="inlineStr">
        <is>
          <t>Net 30 days from date of issue</t>
        </is>
      </c>
      <c r="N10" t="inlineStr">
        <is>
          <t>scan_20260814_116655.pdf</t>
        </is>
      </c>
      <c r="O10" t="inlineStr">
        <is>
          <t>1</t>
        </is>
      </c>
    </row>
    <row r="11">
      <c r="A11" t="inlineStr">
        <is>
          <t>INV-2026-1062</t>
        </is>
      </c>
      <c r="B11" t="inlineStr">
        <is>
          <t>Northfield Municipal Group</t>
        </is>
      </c>
      <c r="C11" t="inlineStr">
        <is>
          <t>SOW-2026-009</t>
        </is>
      </c>
      <c r="D11" t="inlineStr">
        <is>
          <t>PO-70589</t>
        </is>
      </c>
      <c r="E11" t="inlineStr">
        <is>
          <t>2026-05</t>
        </is>
      </c>
      <c r="F11" t="inlineStr">
        <is>
          <t>2026-05-29</t>
        </is>
      </c>
      <c r="G11" t="inlineStr">
        <is>
          <t>2026-06-28</t>
        </is>
      </c>
      <c r="H11" s="6" t="n">
        <v>22075.11</v>
      </c>
      <c r="I11" s="6" t="n">
        <v>-4557.89</v>
      </c>
      <c r="J11" s="6" t="n">
        <v>17517.22</v>
      </c>
      <c r="K11" s="6" t="n">
        <v>3503.44</v>
      </c>
      <c r="L11" s="6" t="n">
        <v>21020.66</v>
      </c>
      <c r="M11" t="inlineStr">
        <is>
          <t>Net 30 days from date of issue</t>
        </is>
      </c>
      <c r="N11" t="inlineStr">
        <is>
          <t>INV-2026-1062.pdf</t>
        </is>
      </c>
      <c r="O11" t="inlineStr">
        <is>
          <t>1</t>
        </is>
      </c>
    </row>
    <row r="12">
      <c r="A12" t="inlineStr">
        <is>
          <t>INV-2026-1068</t>
        </is>
      </c>
      <c r="B12" t="inlineStr">
        <is>
          <t>Northfield Municipal Group</t>
        </is>
      </c>
      <c r="C12" t="inlineStr">
        <is>
          <t>SOW-2026-009</t>
        </is>
      </c>
      <c r="D12" t="inlineStr">
        <is>
          <t>PO-71694</t>
        </is>
      </c>
      <c r="E12" t="inlineStr">
        <is>
          <t>2026-07</t>
        </is>
      </c>
      <c r="F12" t="inlineStr">
        <is>
          <t>2026-07-26</t>
        </is>
      </c>
      <c r="G12" t="inlineStr">
        <is>
          <t>2026-08-25</t>
        </is>
      </c>
      <c r="H12" s="6" t="n">
        <v>45530.86</v>
      </c>
      <c r="I12" s="6" t="n">
        <v>-1737.82</v>
      </c>
      <c r="J12" s="6" t="n">
        <v>43793.04</v>
      </c>
      <c r="K12" s="6" t="n">
        <v>8758.610000000001</v>
      </c>
      <c r="L12" s="6" t="n">
        <v>52551.65</v>
      </c>
      <c r="M12" t="inlineStr">
        <is>
          <t>Net 30 days from date of issue</t>
        </is>
      </c>
      <c r="N12" t="inlineStr">
        <is>
          <t>INV-2026-1068.pdf</t>
        </is>
      </c>
      <c r="O12" t="inlineStr">
        <is>
          <t>1</t>
        </is>
      </c>
    </row>
    <row r="13">
      <c r="A13" t="inlineStr">
        <is>
          <t>INV-2026-1146</t>
        </is>
      </c>
      <c r="B13" t="inlineStr">
        <is>
          <t>Stonebridge Energy Group</t>
        </is>
      </c>
      <c r="C13" t="inlineStr">
        <is>
          <t>SOW-2026-012</t>
        </is>
      </c>
      <c r="D13" t="inlineStr">
        <is>
          <t>PO-37653</t>
        </is>
      </c>
      <c r="E13" t="inlineStr">
        <is>
          <t>2026-05</t>
        </is>
      </c>
      <c r="F13" t="inlineStr">
        <is>
          <t>2026-06-05</t>
        </is>
      </c>
      <c r="G13" t="inlineStr">
        <is>
          <t>2026-07-05</t>
        </is>
      </c>
      <c r="H13" s="6" t="n">
        <v>31696.19</v>
      </c>
      <c r="I13" s="6" t="n">
        <v>-1512.44</v>
      </c>
      <c r="J13" s="6" t="n">
        <v>30183.75</v>
      </c>
      <c r="K13" s="6" t="n">
        <v>6036.75</v>
      </c>
      <c r="L13" s="6" t="n">
        <v>36220.5</v>
      </c>
      <c r="M13" t="inlineStr">
        <is>
          <t>Net 30 days from date of issue</t>
        </is>
      </c>
      <c r="N13" t="inlineStr">
        <is>
          <t>INV-2026-1146.pdf</t>
        </is>
      </c>
      <c r="O13" t="inlineStr">
        <is>
          <t>1</t>
        </is>
      </c>
    </row>
    <row r="14">
      <c r="A14" t="inlineStr">
        <is>
          <t>INV-2026-1152</t>
        </is>
      </c>
      <c r="B14" t="inlineStr">
        <is>
          <t>Stonebridge Energy Group</t>
        </is>
      </c>
      <c r="C14" t="inlineStr">
        <is>
          <t>SOW-2026-012</t>
        </is>
      </c>
      <c r="D14" t="inlineStr">
        <is>
          <t>PO-22224</t>
        </is>
      </c>
      <c r="E14" t="inlineStr">
        <is>
          <t>2026-06</t>
        </is>
      </c>
      <c r="F14" t="inlineStr">
        <is>
          <t>2026-07-04</t>
        </is>
      </c>
      <c r="G14" t="inlineStr">
        <is>
          <t>2026-08-03</t>
        </is>
      </c>
      <c r="H14" s="6" t="n">
        <v>36894.48</v>
      </c>
      <c r="I14" s="6" t="n">
        <v>-2097.81</v>
      </c>
      <c r="J14" s="6" t="n">
        <v>34796.67</v>
      </c>
      <c r="K14" s="6" t="n">
        <v>6959.33</v>
      </c>
      <c r="L14" s="6" t="n">
        <v>41756</v>
      </c>
      <c r="M14" t="inlineStr">
        <is>
          <t>Net 30 days from date of issue</t>
        </is>
      </c>
      <c r="N14" t="inlineStr">
        <is>
          <t>INV-2026-1152.pdf</t>
        </is>
      </c>
      <c r="O14" t="inlineStr">
        <is>
          <t>1</t>
        </is>
      </c>
    </row>
    <row r="15">
      <c r="A15" t="inlineStr">
        <is>
          <t>INV-2026-1158</t>
        </is>
      </c>
      <c r="B15" t="inlineStr">
        <is>
          <t>Stonebridge Energy Group</t>
        </is>
      </c>
      <c r="C15" t="inlineStr">
        <is>
          <t>SOW-2026-012</t>
        </is>
      </c>
      <c r="D15" t="inlineStr">
        <is>
          <t>PO-46517</t>
        </is>
      </c>
      <c r="E15" t="inlineStr">
        <is>
          <t>2026-07</t>
        </is>
      </c>
      <c r="F15" t="inlineStr">
        <is>
          <t>2026-08-04</t>
        </is>
      </c>
      <c r="G15" t="inlineStr">
        <is>
          <t>2026-09-03</t>
        </is>
      </c>
      <c r="H15" s="6" t="n">
        <v>50819</v>
      </c>
      <c r="I15" s="6" t="n">
        <v>-5829</v>
      </c>
      <c r="J15" s="6" t="n">
        <v>44990</v>
      </c>
      <c r="K15" s="6" t="n">
        <v>8998</v>
      </c>
      <c r="L15" s="6" t="n">
        <v>53988</v>
      </c>
      <c r="M15" t="inlineStr">
        <is>
          <t>Net 30 days from date of issue</t>
        </is>
      </c>
      <c r="N15" t="inlineStr">
        <is>
          <t>INV-2026-1158.pdf</t>
        </is>
      </c>
      <c r="O15" t="inlineStr">
        <is>
          <t>1</t>
        </is>
      </c>
    </row>
    <row r="16">
      <c r="A16" t="inlineStr">
        <is>
          <t>INV-2026-1212</t>
        </is>
      </c>
      <c r="B16" t="inlineStr">
        <is>
          <t>Ashcombe Health Partners</t>
        </is>
      </c>
      <c r="C16" t="inlineStr">
        <is>
          <t>SOW-2025-013</t>
        </is>
      </c>
      <c r="D16" t="inlineStr">
        <is>
          <t>PO-86484</t>
        </is>
      </c>
      <c r="E16" t="inlineStr">
        <is>
          <t>2026-05</t>
        </is>
      </c>
      <c r="F16" s="7" t="inlineStr">
        <is>
          <t>2026-06-03</t>
        </is>
      </c>
      <c r="G16" s="7" t="inlineStr">
        <is>
          <t>2026-07-03</t>
        </is>
      </c>
      <c r="H16" s="6" t="n">
        <v>49557.42</v>
      </c>
      <c r="I16" s="6" t="n">
        <v>-9594.67</v>
      </c>
      <c r="J16" s="6" t="n">
        <v>39962.75</v>
      </c>
      <c r="K16" s="6" t="n">
        <v>7992.55</v>
      </c>
      <c r="L16" s="6" t="n">
        <v>47955.3</v>
      </c>
      <c r="M16" t="inlineStr">
        <is>
          <t>Net 30 days from date of issue</t>
        </is>
      </c>
      <c r="N16" t="inlineStr">
        <is>
          <t>INV-2026-1212.pdf</t>
        </is>
      </c>
      <c r="O16" t="inlineStr">
        <is>
          <t>1</t>
        </is>
      </c>
    </row>
    <row r="17">
      <c r="A17" t="inlineStr">
        <is>
          <t>INV-2026-1218</t>
        </is>
      </c>
      <c r="B17" t="inlineStr">
        <is>
          <t>Ashcombe Health Partners</t>
        </is>
      </c>
      <c r="C17" t="inlineStr">
        <is>
          <t>SOW-2025-013</t>
        </is>
      </c>
      <c r="D17" t="inlineStr">
        <is>
          <t>PO-61173</t>
        </is>
      </c>
      <c r="E17" t="inlineStr">
        <is>
          <t>2026-06</t>
        </is>
      </c>
      <c r="F17" t="inlineStr">
        <is>
          <t>2026-07-05</t>
        </is>
      </c>
      <c r="G17" t="inlineStr">
        <is>
          <t>2026-08-04</t>
        </is>
      </c>
      <c r="H17" s="6" t="n">
        <v>54665.97</v>
      </c>
      <c r="I17" s="6" t="n">
        <v>-8716.299999999999</v>
      </c>
      <c r="J17" s="6" t="n">
        <v>45949.67</v>
      </c>
      <c r="K17" s="6" t="n">
        <v>9189.93</v>
      </c>
      <c r="L17" s="6" t="n">
        <v>55139.6</v>
      </c>
      <c r="M17" t="inlineStr">
        <is>
          <t>Net 30 days from date of issue</t>
        </is>
      </c>
      <c r="N17" t="inlineStr">
        <is>
          <t>scan_20260814_117077.pdf</t>
        </is>
      </c>
      <c r="O17" t="inlineStr">
        <is>
          <t>1</t>
        </is>
      </c>
    </row>
    <row r="18">
      <c r="A18" t="inlineStr">
        <is>
          <t>INV-2026-1224</t>
        </is>
      </c>
      <c r="B18" t="inlineStr">
        <is>
          <t>Ashcombe Health Partners</t>
        </is>
      </c>
      <c r="C18" t="inlineStr">
        <is>
          <t>SOW-2025-013</t>
        </is>
      </c>
      <c r="D18" t="inlineStr">
        <is>
          <t>PO-44237</t>
        </is>
      </c>
      <c r="E18" t="inlineStr">
        <is>
          <t>2026-07</t>
        </is>
      </c>
      <c r="F18" t="inlineStr">
        <is>
          <t>2026-08-07</t>
        </is>
      </c>
      <c r="G18" t="inlineStr">
        <is>
          <t>2026-09-06</t>
        </is>
      </c>
      <c r="H18" s="6" t="n">
        <v>68232.5</v>
      </c>
      <c r="I18" s="6" t="n">
        <v>-11369.33</v>
      </c>
      <c r="J18" s="6" t="n">
        <v>56863.17</v>
      </c>
      <c r="K18" s="6" t="n">
        <v>11372.63</v>
      </c>
      <c r="L18" s="6" t="n">
        <v>68235.8</v>
      </c>
      <c r="M18" t="inlineStr">
        <is>
          <t>Net 30 days from date of issue</t>
        </is>
      </c>
      <c r="N18" t="inlineStr">
        <is>
          <t>scan_20260814_117817.pdf</t>
        </is>
      </c>
      <c r="O18" t="inlineStr">
        <is>
          <t>1</t>
        </is>
      </c>
    </row>
    <row r="19">
      <c r="A19" t="inlineStr">
        <is>
          <t>INV-2026-1326</t>
        </is>
      </c>
      <c r="B19" t="inlineStr">
        <is>
          <t>Ashcombe Health Partners</t>
        </is>
      </c>
      <c r="C19" t="inlineStr">
        <is>
          <t>SOW-2025-015</t>
        </is>
      </c>
      <c r="D19" t="inlineStr">
        <is>
          <t>PO-60432</t>
        </is>
      </c>
      <c r="E19" t="inlineStr">
        <is>
          <t>2026-05</t>
        </is>
      </c>
      <c r="F19" t="inlineStr">
        <is>
          <t>2026-06-07</t>
        </is>
      </c>
      <c r="G19" t="inlineStr">
        <is>
          <t>2026-07-07</t>
        </is>
      </c>
      <c r="H19" s="6" t="n">
        <v>39353.28</v>
      </c>
      <c r="I19" s="6" t="n">
        <v>-2206.45</v>
      </c>
      <c r="J19" s="6" t="n">
        <v>37146.83</v>
      </c>
      <c r="K19" s="6" t="n">
        <v>7429.37</v>
      </c>
      <c r="L19" s="6" t="n">
        <v>44576.2</v>
      </c>
      <c r="M19" t="inlineStr">
        <is>
          <t>Net 30 days from date of issue</t>
        </is>
      </c>
      <c r="N19" t="inlineStr">
        <is>
          <t>scan_20260814_118619.pdf</t>
        </is>
      </c>
      <c r="O19" t="inlineStr">
        <is>
          <t>1</t>
        </is>
      </c>
    </row>
    <row r="20">
      <c r="A20" t="inlineStr">
        <is>
          <t>INV-2026-1332</t>
        </is>
      </c>
      <c r="B20" t="inlineStr">
        <is>
          <t>Ashcombe Health Partners</t>
        </is>
      </c>
      <c r="C20" t="inlineStr">
        <is>
          <t>SOW-2025-015</t>
        </is>
      </c>
      <c r="D20" t="inlineStr">
        <is>
          <t>PO-17492</t>
        </is>
      </c>
      <c r="E20" t="inlineStr">
        <is>
          <t>2026-06</t>
        </is>
      </c>
      <c r="F20" t="inlineStr">
        <is>
          <t>2026-07-06</t>
        </is>
      </c>
      <c r="G20" t="inlineStr">
        <is>
          <t>2026-08-05</t>
        </is>
      </c>
      <c r="H20" s="6" t="n">
        <v>65920.48</v>
      </c>
      <c r="I20" s="6" t="n">
        <v>-4911.48</v>
      </c>
      <c r="J20" s="6" t="n">
        <v>61009</v>
      </c>
      <c r="K20" s="6" t="n">
        <v>12201.8</v>
      </c>
      <c r="L20" s="6" t="n">
        <v>73210.8</v>
      </c>
      <c r="M20" t="inlineStr">
        <is>
          <t>Net 30 days from date of issue</t>
        </is>
      </c>
      <c r="N20" t="inlineStr">
        <is>
          <t>scan_20260814_119005.pdf</t>
        </is>
      </c>
      <c r="O20" t="inlineStr">
        <is>
          <t>1</t>
        </is>
      </c>
    </row>
    <row r="21">
      <c r="A21" t="inlineStr">
        <is>
          <t>INV-2026-1338</t>
        </is>
      </c>
      <c r="B21" t="inlineStr">
        <is>
          <t>Ashcombe Health Partners</t>
        </is>
      </c>
      <c r="C21" t="inlineStr">
        <is>
          <t>SOW-2025-015</t>
        </is>
      </c>
      <c r="D21" t="inlineStr">
        <is>
          <t>PO-77033</t>
        </is>
      </c>
      <c r="E21" t="inlineStr">
        <is>
          <t>2026-07</t>
        </is>
      </c>
      <c r="F21" t="inlineStr">
        <is>
          <t>2026-08-07</t>
        </is>
      </c>
      <c r="G21" t="inlineStr">
        <is>
          <t>2026-09-06</t>
        </is>
      </c>
      <c r="H21" s="6" t="n">
        <v>72146.82000000001</v>
      </c>
      <c r="I21" s="6" t="n">
        <v>-4723.24</v>
      </c>
      <c r="J21" s="6" t="n">
        <v>67423.58</v>
      </c>
      <c r="K21" s="6" t="n">
        <v>13484.72</v>
      </c>
      <c r="L21" s="6" t="n">
        <v>80908.3</v>
      </c>
      <c r="M21" t="inlineStr">
        <is>
          <t>Net 30 days from date of issue</t>
        </is>
      </c>
      <c r="N21" t="inlineStr">
        <is>
          <t>INV-2026-1338.pdf</t>
        </is>
      </c>
      <c r="O21" t="inlineStr">
        <is>
          <t>1</t>
        </is>
      </c>
    </row>
    <row r="22">
      <c r="A22" t="inlineStr">
        <is>
          <t>INV-2026-1392</t>
        </is>
      </c>
      <c r="B22" t="inlineStr">
        <is>
          <t>Braemar Retail Corporation</t>
        </is>
      </c>
      <c r="C22" t="inlineStr">
        <is>
          <t>SOW-2025-016</t>
        </is>
      </c>
      <c r="D22" t="inlineStr">
        <is>
          <t>PO-24621</t>
        </is>
      </c>
      <c r="E22" t="inlineStr">
        <is>
          <t>2026-05</t>
        </is>
      </c>
      <c r="F22" t="inlineStr">
        <is>
          <t>2026-06-06</t>
        </is>
      </c>
      <c r="G22" t="inlineStr">
        <is>
          <t>2026-07-06</t>
        </is>
      </c>
      <c r="H22" s="6" t="n">
        <v>20558.49</v>
      </c>
      <c r="I22" s="6" t="n">
        <v>-3580.66</v>
      </c>
      <c r="J22" s="6" t="n">
        <v>16977.83</v>
      </c>
      <c r="K22" s="6" t="n">
        <v>3395.57</v>
      </c>
      <c r="L22" s="6" t="n">
        <v>20373.4</v>
      </c>
      <c r="M22" t="inlineStr">
        <is>
          <t>Net 30 days from date of issue</t>
        </is>
      </c>
      <c r="N22" t="inlineStr">
        <is>
          <t>INV-2026-1392.pdf</t>
        </is>
      </c>
      <c r="O22" t="inlineStr">
        <is>
          <t>1</t>
        </is>
      </c>
    </row>
    <row r="23">
      <c r="A23" t="inlineStr">
        <is>
          <t>INV-2026-1398</t>
        </is>
      </c>
      <c r="B23" t="inlineStr">
        <is>
          <t>Braemar Retail Corporation</t>
        </is>
      </c>
      <c r="C23" t="inlineStr">
        <is>
          <t>SOW-2025-016</t>
        </is>
      </c>
      <c r="D23" t="inlineStr">
        <is>
          <t>PO-98501</t>
        </is>
      </c>
      <c r="E23" t="inlineStr">
        <is>
          <t>2026-06</t>
        </is>
      </c>
      <c r="F23" t="inlineStr">
        <is>
          <t>2026-07-09</t>
        </is>
      </c>
      <c r="G23" t="inlineStr">
        <is>
          <t>2026-08-08</t>
        </is>
      </c>
      <c r="H23" s="6" t="n">
        <v>29907.72</v>
      </c>
      <c r="I23" s="6" t="n">
        <v>-1470.64</v>
      </c>
      <c r="J23" s="6" t="n">
        <v>28437.08</v>
      </c>
      <c r="K23" s="6" t="n">
        <v>5687.42</v>
      </c>
      <c r="L23" s="6" t="n">
        <v>34124.5</v>
      </c>
      <c r="M23" t="inlineStr">
        <is>
          <t>Net 30 days from date of issue</t>
        </is>
      </c>
      <c r="N23" t="inlineStr">
        <is>
          <t>INV-2026-1398.pdf</t>
        </is>
      </c>
      <c r="O23" t="inlineStr">
        <is>
          <t>1</t>
        </is>
      </c>
    </row>
    <row r="24">
      <c r="A24" t="inlineStr">
        <is>
          <t>INV-2026-1404</t>
        </is>
      </c>
      <c r="B24" t="inlineStr">
        <is>
          <t>Braemar Retail Corporation</t>
        </is>
      </c>
      <c r="C24" t="inlineStr">
        <is>
          <t>SOW-2025-016</t>
        </is>
      </c>
      <c r="D24" t="inlineStr">
        <is>
          <t>PO-66531</t>
        </is>
      </c>
      <c r="E24" t="inlineStr">
        <is>
          <t>2026-07</t>
        </is>
      </c>
      <c r="F24" t="inlineStr">
        <is>
          <t>2026-08-06</t>
        </is>
      </c>
      <c r="G24" t="inlineStr">
        <is>
          <t>2026-09-05</t>
        </is>
      </c>
      <c r="H24" s="6" t="n">
        <v>32597.8</v>
      </c>
      <c r="I24" s="6" t="n">
        <v>-1567.05</v>
      </c>
      <c r="J24" s="6" t="n">
        <v>31030.75</v>
      </c>
      <c r="K24" s="6" t="n">
        <v>6206.15</v>
      </c>
      <c r="L24" s="6" t="n">
        <v>37236.9</v>
      </c>
      <c r="M24" t="inlineStr">
        <is>
          <t>Net 30 days from date of issue</t>
        </is>
      </c>
      <c r="N24" t="inlineStr">
        <is>
          <t>INV-2026-1404.pdf</t>
        </is>
      </c>
      <c r="O24" t="inlineStr">
        <is>
          <t>1</t>
        </is>
      </c>
    </row>
    <row r="25">
      <c r="A25" t="inlineStr">
        <is>
          <t>INV-2026-1458</t>
        </is>
      </c>
      <c r="B25" t="inlineStr">
        <is>
          <t>Thornbury Retail Partners</t>
        </is>
      </c>
      <c r="C25" t="inlineStr">
        <is>
          <t>SOW-2025-018</t>
        </is>
      </c>
      <c r="D25" t="inlineStr">
        <is>
          <t>PO-16057</t>
        </is>
      </c>
      <c r="E25" t="inlineStr">
        <is>
          <t>2026-08</t>
        </is>
      </c>
      <c r="F25" t="inlineStr">
        <is>
          <t>2026-08-07</t>
        </is>
      </c>
      <c r="G25" t="inlineStr">
        <is>
          <t>2026-09-06</t>
        </is>
      </c>
      <c r="H25" s="6" t="n">
        <v>57571.95</v>
      </c>
      <c r="I25" s="6" t="n">
        <v>-5689.37</v>
      </c>
      <c r="J25" s="6" t="n">
        <v>51882.58</v>
      </c>
      <c r="K25" s="6" t="n">
        <v>10376.51</v>
      </c>
      <c r="L25" s="6" t="n">
        <v>62259.09</v>
      </c>
      <c r="M25" t="inlineStr">
        <is>
          <t>Net 30 days from date of issue</t>
        </is>
      </c>
      <c r="N25" t="inlineStr">
        <is>
          <t>INV-2026-1458.pdf</t>
        </is>
      </c>
      <c r="O25" t="inlineStr">
        <is>
          <t>1</t>
        </is>
      </c>
    </row>
    <row r="26">
      <c r="A26" t="inlineStr">
        <is>
          <t>INV-2026-1494</t>
        </is>
      </c>
      <c r="B26" t="inlineStr">
        <is>
          <t>Thornbury Retail Partners</t>
        </is>
      </c>
      <c r="C26" t="inlineStr">
        <is>
          <t>SOW-2025-019</t>
        </is>
      </c>
      <c r="D26" t="inlineStr">
        <is>
          <t>PO-36071</t>
        </is>
      </c>
      <c r="E26" t="inlineStr">
        <is>
          <t>2026-05</t>
        </is>
      </c>
      <c r="F26" t="inlineStr">
        <is>
          <t>2026-06-04</t>
        </is>
      </c>
      <c r="G26" t="inlineStr">
        <is>
          <t>2026-07-04</t>
        </is>
      </c>
      <c r="H26" s="6" t="n">
        <v>14795.01</v>
      </c>
      <c r="I26" s="6" t="n">
        <v>-3137.34</v>
      </c>
      <c r="J26" s="6" t="n">
        <v>11657.67</v>
      </c>
      <c r="K26" s="6" t="n">
        <v>2331.53</v>
      </c>
      <c r="L26" s="6" t="n">
        <v>13989.2</v>
      </c>
      <c r="M26" t="inlineStr">
        <is>
          <t>Net 30 days from date of issue</t>
        </is>
      </c>
      <c r="N26" t="inlineStr">
        <is>
          <t>INV-2026-1494.pdf</t>
        </is>
      </c>
      <c r="O26" t="inlineStr">
        <is>
          <t>1</t>
        </is>
      </c>
    </row>
    <row r="27">
      <c r="A27" t="inlineStr">
        <is>
          <t>INV-2026-1500</t>
        </is>
      </c>
      <c r="B27" t="inlineStr">
        <is>
          <t>Thornbury Retail Partners</t>
        </is>
      </c>
      <c r="C27" t="inlineStr">
        <is>
          <t>SOW-2025-019</t>
        </is>
      </c>
      <c r="D27" t="inlineStr">
        <is>
          <t>PO-96163</t>
        </is>
      </c>
      <c r="E27" t="inlineStr">
        <is>
          <t>2026-06</t>
        </is>
      </c>
      <c r="F27" t="inlineStr">
        <is>
          <t>2026-07-05</t>
        </is>
      </c>
      <c r="G27" t="inlineStr">
        <is>
          <t>2026-08-04</t>
        </is>
      </c>
      <c r="H27" s="8" t="n"/>
      <c r="I27" s="8" t="n"/>
      <c r="J27" s="8" t="n"/>
      <c r="K27" s="8" t="n"/>
      <c r="L27" s="8" t="n"/>
      <c r="N27" t="inlineStr">
        <is>
          <t>scan_20260814_119189.pdf</t>
        </is>
      </c>
      <c r="O27" t="inlineStr">
        <is>
          <t>1</t>
        </is>
      </c>
    </row>
    <row r="28">
      <c r="A28" t="inlineStr">
        <is>
          <t>INV-2026-1506</t>
        </is>
      </c>
      <c r="B28" t="inlineStr">
        <is>
          <t>Thornbury Retail Partners</t>
        </is>
      </c>
      <c r="C28" t="inlineStr">
        <is>
          <t>SOW-2025-019</t>
        </is>
      </c>
      <c r="D28" t="inlineStr">
        <is>
          <t>PO-48752</t>
        </is>
      </c>
      <c r="E28" t="inlineStr">
        <is>
          <t>2026-07</t>
        </is>
      </c>
      <c r="F28" t="inlineStr">
        <is>
          <t>2026-08-08</t>
        </is>
      </c>
      <c r="G28" t="inlineStr">
        <is>
          <t>2026-09-07</t>
        </is>
      </c>
      <c r="H28" s="6" t="n">
        <v>17865.34</v>
      </c>
      <c r="I28" s="6" t="n">
        <v>-1168.51</v>
      </c>
      <c r="J28" s="6" t="n">
        <v>16696.83</v>
      </c>
      <c r="K28" s="6" t="n">
        <v>3339.37</v>
      </c>
      <c r="L28" s="6" t="n">
        <v>20036.2</v>
      </c>
      <c r="M28" t="inlineStr">
        <is>
          <t>Net 30 days from date of issue</t>
        </is>
      </c>
      <c r="N28" t="inlineStr">
        <is>
          <t>scan_20260814_119479.pdf</t>
        </is>
      </c>
      <c r="O28" t="inlineStr">
        <is>
          <t>1</t>
        </is>
      </c>
    </row>
    <row r="29">
      <c r="A29" t="inlineStr">
        <is>
          <t>INV-2026-1512</t>
        </is>
      </c>
      <c r="B29" t="inlineStr">
        <is>
          <t>Quarrymoor Transit Partners</t>
        </is>
      </c>
      <c r="C29" t="inlineStr">
        <is>
          <t>SOW-2025-020</t>
        </is>
      </c>
      <c r="D29" t="inlineStr">
        <is>
          <t>PO-41385</t>
        </is>
      </c>
      <c r="E29" t="inlineStr">
        <is>
          <t>2026-05</t>
        </is>
      </c>
      <c r="F29" t="inlineStr">
        <is>
          <t>2026-05-22</t>
        </is>
      </c>
      <c r="G29" t="inlineStr">
        <is>
          <t>2026-06-21</t>
        </is>
      </c>
      <c r="H29" s="6" t="n">
        <v>364020.5</v>
      </c>
      <c r="I29" s="6" t="n">
        <v>-68060.71000000001</v>
      </c>
      <c r="J29" s="6" t="n">
        <v>295959.79</v>
      </c>
      <c r="K29" s="6" t="n">
        <v>59191.96</v>
      </c>
      <c r="L29" s="6" t="n">
        <v>355151.75</v>
      </c>
      <c r="M29" t="inlineStr">
        <is>
          <t>Net 30 days from date of issue</t>
        </is>
      </c>
      <c r="N29" t="inlineStr">
        <is>
          <t>scan_20260814_119811.pdf</t>
        </is>
      </c>
      <c r="O29" t="inlineStr">
        <is>
          <t>1</t>
        </is>
      </c>
    </row>
    <row r="30">
      <c r="A30" t="inlineStr">
        <is>
          <t>INV-2026-1596</t>
        </is>
      </c>
      <c r="B30" t="inlineStr">
        <is>
          <t>Fernhollow Financial Trust</t>
        </is>
      </c>
      <c r="C30" t="inlineStr">
        <is>
          <t>SOW-2026-022</t>
        </is>
      </c>
      <c r="D30" t="inlineStr">
        <is>
          <t>PO-82063</t>
        </is>
      </c>
      <c r="E30" t="inlineStr">
        <is>
          <t>2026-05</t>
        </is>
      </c>
      <c r="F30" t="inlineStr">
        <is>
          <t>2026-06-05</t>
        </is>
      </c>
      <c r="G30" t="inlineStr">
        <is>
          <t>2026-07-05</t>
        </is>
      </c>
      <c r="H30" s="6" t="n">
        <v>34439.75</v>
      </c>
      <c r="I30" s="6" t="n">
        <v>-1961.08</v>
      </c>
      <c r="J30" s="6" t="n">
        <v>32478.67</v>
      </c>
      <c r="K30" s="6" t="n">
        <v>6495.73</v>
      </c>
      <c r="L30" s="6" t="n">
        <v>38974.4</v>
      </c>
      <c r="M30" s="7" t="inlineStr">
        <is>
          <t>Net 30 days from date of issue</t>
        </is>
      </c>
      <c r="N30" t="inlineStr">
        <is>
          <t>scan_20260814_120638.pdf</t>
        </is>
      </c>
      <c r="O30" t="inlineStr">
        <is>
          <t>1</t>
        </is>
      </c>
    </row>
    <row r="31">
      <c r="A31" t="inlineStr">
        <is>
          <t>INV-2026-1602</t>
        </is>
      </c>
      <c r="B31" t="inlineStr">
        <is>
          <t>Fernhollow Financial Trust</t>
        </is>
      </c>
      <c r="C31" t="inlineStr">
        <is>
          <t>SOW-2026-022</t>
        </is>
      </c>
      <c r="D31" t="inlineStr">
        <is>
          <t>PO-11220</t>
        </is>
      </c>
      <c r="E31" t="inlineStr">
        <is>
          <t>2026-06</t>
        </is>
      </c>
      <c r="F31" t="inlineStr">
        <is>
          <t>2026-07-05</t>
        </is>
      </c>
      <c r="G31" t="inlineStr">
        <is>
          <t>2026-08-04</t>
        </is>
      </c>
      <c r="H31" s="6" t="n">
        <v>38860.26</v>
      </c>
      <c r="I31" s="6" t="n">
        <v>-3850.43</v>
      </c>
      <c r="J31" s="6" t="n">
        <v>35009.83</v>
      </c>
      <c r="K31" s="6" t="n">
        <v>7001.97</v>
      </c>
      <c r="L31" s="6" t="n">
        <v>42011.8</v>
      </c>
      <c r="M31" t="inlineStr">
        <is>
          <t>Net 30 days from date of issue</t>
        </is>
      </c>
      <c r="N31" t="inlineStr">
        <is>
          <t>INV-2026-1602.pdf</t>
        </is>
      </c>
      <c r="O31" t="inlineStr">
        <is>
          <t>1</t>
        </is>
      </c>
    </row>
    <row r="32">
      <c r="A32" t="inlineStr">
        <is>
          <t>INV-2026-1608</t>
        </is>
      </c>
      <c r="B32" t="inlineStr">
        <is>
          <t>Fernhollow Financial Trust</t>
        </is>
      </c>
      <c r="C32" t="inlineStr">
        <is>
          <t>SOW-2026-022</t>
        </is>
      </c>
      <c r="D32" t="inlineStr">
        <is>
          <t>PO-47606</t>
        </is>
      </c>
      <c r="E32" t="inlineStr">
        <is>
          <t>2026-07</t>
        </is>
      </c>
      <c r="F32" t="inlineStr">
        <is>
          <t>2026-08-06</t>
        </is>
      </c>
      <c r="G32" t="inlineStr">
        <is>
          <t>2026-09-05</t>
        </is>
      </c>
      <c r="H32" s="6" t="n">
        <v>46668.24</v>
      </c>
      <c r="I32" s="6" t="n">
        <v>-9351.99</v>
      </c>
      <c r="J32" s="6" t="n">
        <v>37316.25</v>
      </c>
      <c r="K32" s="6" t="n">
        <v>7463.25</v>
      </c>
      <c r="L32" s="6" t="n">
        <v>44779.5</v>
      </c>
      <c r="M32" t="inlineStr">
        <is>
          <t>Net 30 days from date of issue</t>
        </is>
      </c>
      <c r="N32" t="inlineStr">
        <is>
          <t>INV-2026-1608.pdf</t>
        </is>
      </c>
      <c r="O32" t="inlineStr">
        <is>
          <t>1</t>
        </is>
      </c>
    </row>
    <row r="33">
      <c r="A33" t="inlineStr">
        <is>
          <t>INV-2026-1614</t>
        </is>
      </c>
      <c r="B33" t="inlineStr">
        <is>
          <t>Fernhollow Financial Trust</t>
        </is>
      </c>
      <c r="C33" t="inlineStr">
        <is>
          <t>SOW-2025-023</t>
        </is>
      </c>
      <c r="D33" t="inlineStr">
        <is>
          <t>PO-77839</t>
        </is>
      </c>
      <c r="E33" t="inlineStr">
        <is>
          <t>2026-05</t>
        </is>
      </c>
      <c r="F33" t="inlineStr">
        <is>
          <t>2026-05-10</t>
        </is>
      </c>
      <c r="G33" t="inlineStr">
        <is>
          <t>2026-06-09</t>
        </is>
      </c>
      <c r="H33" s="6" t="n">
        <v>196942.78</v>
      </c>
      <c r="I33" s="6" t="n">
        <v>-34181.64</v>
      </c>
      <c r="J33" s="6" t="n">
        <v>162761.14</v>
      </c>
      <c r="K33" s="6" t="n">
        <v>32552.23</v>
      </c>
      <c r="L33" s="6" t="n">
        <v>195313.37</v>
      </c>
      <c r="M33" t="inlineStr">
        <is>
          <t>Net 30 days from date of issue</t>
        </is>
      </c>
      <c r="N33" t="inlineStr">
        <is>
          <t>INV-2026-1614.pdf</t>
        </is>
      </c>
      <c r="O33" t="inlineStr">
        <is>
          <t>1</t>
        </is>
      </c>
    </row>
    <row r="34">
      <c r="A34" t="inlineStr">
        <is>
          <t>INV-2026-1704</t>
        </is>
      </c>
      <c r="B34" t="inlineStr">
        <is>
          <t>Stonebridge Energy Group</t>
        </is>
      </c>
      <c r="C34" t="inlineStr">
        <is>
          <t>SOW-2025-025</t>
        </is>
      </c>
      <c r="D34" t="inlineStr">
        <is>
          <t>PO-92719</t>
        </is>
      </c>
      <c r="E34" t="inlineStr">
        <is>
          <t>2026-05</t>
        </is>
      </c>
      <c r="F34" t="inlineStr">
        <is>
          <t>2026-06-06</t>
        </is>
      </c>
      <c r="G34" t="inlineStr">
        <is>
          <t>2026-07-06</t>
        </is>
      </c>
      <c r="H34" s="6" t="n">
        <v>50409.48</v>
      </c>
      <c r="I34" s="6" t="n">
        <v>-6214.06</v>
      </c>
      <c r="J34" s="6" t="n">
        <v>44195.42</v>
      </c>
      <c r="K34" s="6" t="n">
        <v>8839.08</v>
      </c>
      <c r="L34" s="6" t="n">
        <v>53034.5</v>
      </c>
      <c r="M34" t="inlineStr">
        <is>
          <t>Net 30 days from date of issue</t>
        </is>
      </c>
      <c r="N34" t="inlineStr">
        <is>
          <t>INV-2026-1704.pdf</t>
        </is>
      </c>
      <c r="O34" t="inlineStr">
        <is>
          <t>1</t>
        </is>
      </c>
    </row>
    <row r="35">
      <c r="A35" t="inlineStr">
        <is>
          <t>INV-2026-1710</t>
        </is>
      </c>
      <c r="B35" t="inlineStr">
        <is>
          <t>Stonebridge Energy Group</t>
        </is>
      </c>
      <c r="C35" t="inlineStr">
        <is>
          <t>SOW-2025-025</t>
        </is>
      </c>
      <c r="D35" t="inlineStr">
        <is>
          <t>PO-67433</t>
        </is>
      </c>
      <c r="E35" t="inlineStr">
        <is>
          <t>2026-06</t>
        </is>
      </c>
      <c r="F35" t="inlineStr">
        <is>
          <t>2026-07-06</t>
        </is>
      </c>
      <c r="G35" t="inlineStr">
        <is>
          <t>2026-08-05</t>
        </is>
      </c>
      <c r="H35" s="6" t="n">
        <v>44554.05</v>
      </c>
      <c r="I35" s="6" t="n">
        <v>-7397.72</v>
      </c>
      <c r="J35" s="6" t="n">
        <v>37156.33</v>
      </c>
      <c r="K35" s="6" t="n">
        <v>7431.27</v>
      </c>
      <c r="L35" s="6" t="n">
        <v>44587.6</v>
      </c>
      <c r="M35" t="inlineStr">
        <is>
          <t>Net 30 days from date of issue</t>
        </is>
      </c>
      <c r="N35" t="inlineStr">
        <is>
          <t>scan_20260814_121161.pdf</t>
        </is>
      </c>
      <c r="O35" t="inlineStr">
        <is>
          <t>1</t>
        </is>
      </c>
    </row>
    <row r="36">
      <c r="A36" t="inlineStr">
        <is>
          <t>INV-2026-1716</t>
        </is>
      </c>
      <c r="B36" t="inlineStr">
        <is>
          <t>Stonebridge Energy Group</t>
        </is>
      </c>
      <c r="C36" t="inlineStr">
        <is>
          <t>SOW-2025-025</t>
        </is>
      </c>
      <c r="D36" t="inlineStr">
        <is>
          <t>PO-96356</t>
        </is>
      </c>
      <c r="E36" t="inlineStr">
        <is>
          <t>2026-07</t>
        </is>
      </c>
      <c r="F36" t="inlineStr">
        <is>
          <t>2026-08-06</t>
        </is>
      </c>
      <c r="G36" t="inlineStr">
        <is>
          <t>2026-09-05</t>
        </is>
      </c>
      <c r="H36" s="6" t="n">
        <v>38108.89</v>
      </c>
      <c r="I36" s="6" t="n">
        <v>-5800.56</v>
      </c>
      <c r="J36" s="6" t="n">
        <v>32308.33</v>
      </c>
      <c r="K36" s="6" t="n">
        <v>6461.67</v>
      </c>
      <c r="L36" s="6" t="n">
        <v>38770</v>
      </c>
      <c r="M36" t="inlineStr">
        <is>
          <t>Net 30 days from date of issue</t>
        </is>
      </c>
      <c r="N36" t="inlineStr">
        <is>
          <t>scan_20260814_121516.pdf</t>
        </is>
      </c>
      <c r="O36" t="inlineStr">
        <is>
          <t>1</t>
        </is>
      </c>
    </row>
    <row r="37">
      <c r="A37" t="inlineStr">
        <is>
          <t>INV-2026-1836</t>
        </is>
      </c>
      <c r="B37" t="inlineStr">
        <is>
          <t>Merrivale Maritime Corporation</t>
        </is>
      </c>
      <c r="C37" t="inlineStr">
        <is>
          <t>SOW-2026-029</t>
        </is>
      </c>
      <c r="D37" t="inlineStr">
        <is>
          <t>PO-36685</t>
        </is>
      </c>
      <c r="E37" t="inlineStr">
        <is>
          <t>2026-06</t>
        </is>
      </c>
      <c r="F37" t="inlineStr">
        <is>
          <t>2026-06-14</t>
        </is>
      </c>
      <c r="G37" t="inlineStr">
        <is>
          <t>2026-07-14</t>
        </is>
      </c>
      <c r="H37" s="6" t="n">
        <v>57932.19</v>
      </c>
      <c r="I37" s="6" t="n">
        <v>-4276.1</v>
      </c>
      <c r="J37" s="6" t="n">
        <v>53656.09</v>
      </c>
      <c r="K37" s="6" t="n">
        <v>10731.22</v>
      </c>
      <c r="L37" s="6" t="n">
        <v>64387.31</v>
      </c>
      <c r="M37" t="inlineStr">
        <is>
          <t>Net 30 days from date of issue</t>
        </is>
      </c>
      <c r="N37" t="inlineStr">
        <is>
          <t>scan_20260814_121921.pdf</t>
        </is>
      </c>
      <c r="O37" t="inlineStr">
        <is>
          <t>1</t>
        </is>
      </c>
    </row>
    <row r="39">
      <c r="K39" s="2" t="inlineStr">
        <is>
          <t>TOTAL INVOICED</t>
        </is>
      </c>
      <c r="L39" s="3">
        <f>SUM(L2:L37)</f>
        <v/>
      </c>
    </row>
  </sheetData>
  <conditionalFormatting sqref="H2:L37">
    <cfRule type="cellIs" priority="1" operator="lessThan" dxfId="0">
      <formula>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2" customWidth="1" min="4" max="4"/>
    <col width="11" customWidth="1" min="5" max="5"/>
    <col width="13" customWidth="1" min="6" max="6"/>
    <col width="13" customWidth="1" min="7" max="7"/>
    <col width="14" customWidth="1" min="8" max="8"/>
    <col width="15" customWidth="1" min="9" max="9"/>
    <col width="14" customWidth="1" min="10" max="10"/>
    <col width="12" customWidth="1" min="11" max="11"/>
    <col width="14" customWidth="1" min="12" max="12"/>
    <col width="30" customWidth="1" min="13" max="13"/>
    <col width="34" customWidth="1" min="14" max="14"/>
  </cols>
  <sheetData>
    <row r="1">
      <c r="A1" s="5" t="inlineStr">
        <is>
          <t>SOW</t>
        </is>
      </c>
      <c r="B1" s="5" t="inlineStr">
        <is>
          <t>Client</t>
        </is>
      </c>
      <c r="C1" s="5" t="inlineStr">
        <is>
          <t>Engagement</t>
        </is>
      </c>
      <c r="D1" s="5" t="inlineStr">
        <is>
          <t>Fee basis</t>
        </is>
      </c>
      <c r="E1" s="5" t="inlineStr">
        <is>
          <t>Start</t>
        </is>
      </c>
      <c r="F1" s="5" t="inlineStr">
        <is>
          <t>End</t>
        </is>
      </c>
      <c r="G1" s="5" t="inlineStr">
        <is>
          <t>Ceiling hours</t>
        </is>
      </c>
      <c r="H1" s="5" t="inlineStr">
        <is>
          <t>Ceiling amount</t>
        </is>
      </c>
      <c r="I1" s="5" t="inlineStr">
        <is>
          <t>Amended by</t>
        </is>
      </c>
      <c r="J1" s="5" t="inlineStr">
        <is>
          <t>Revised ceiling</t>
        </is>
      </c>
      <c r="K1" s="5" t="inlineStr">
        <is>
          <t>Revised end</t>
        </is>
      </c>
      <c r="L1" s="5" t="inlineStr">
        <is>
          <t>Current ceiling</t>
        </is>
      </c>
      <c r="M1" s="5" t="inlineStr">
        <is>
          <t>Source file</t>
        </is>
      </c>
      <c r="N1" s="5" t="inlineStr">
        <is>
          <t>Pages</t>
        </is>
      </c>
    </row>
    <row r="2">
      <c r="A2" t="inlineStr">
        <is>
          <t>SOW-2025-008</t>
        </is>
      </c>
      <c r="B2" t="inlineStr">
        <is>
          <t>Braemar Retail Corporation</t>
        </is>
      </c>
      <c r="C2" t="inlineStr">
        <is>
          <t>Regulatory Reporting Programme</t>
        </is>
      </c>
      <c r="D2" t="inlineStr">
        <is>
          <t>Fixed fee</t>
        </is>
      </c>
      <c r="E2" t="inlineStr">
        <is>
          <t>2025-11-16</t>
        </is>
      </c>
      <c r="F2" t="inlineStr">
        <is>
          <t>2027-05-12</t>
        </is>
      </c>
      <c r="G2" s="6" t="n">
        <v>1020</v>
      </c>
      <c r="H2" s="6" t="n">
        <v>274176</v>
      </c>
      <c r="L2" s="6">
        <f>H2</f>
        <v/>
      </c>
      <c r="M2" t="inlineStr">
        <is>
          <t>Braemar Retail Corporation - SOW - SOW-2025-008 FINAL v3 (signed).docx</t>
        </is>
      </c>
      <c r="N2" t="inlineStr">
        <is>
          <t>1</t>
        </is>
      </c>
    </row>
    <row r="3">
      <c r="A3" t="inlineStr">
        <is>
          <t>SOW-2025-011</t>
        </is>
      </c>
      <c r="B3" t="inlineStr">
        <is>
          <t>Lowmarsh Retail Partners</t>
        </is>
      </c>
      <c r="C3" t="inlineStr">
        <is>
          <t>Inventory Modernisation</t>
        </is>
      </c>
      <c r="D3" t="inlineStr">
        <is>
          <t>Fixed fee</t>
        </is>
      </c>
      <c r="E3" t="inlineStr">
        <is>
          <t>2025-10-11</t>
        </is>
      </c>
      <c r="F3" t="inlineStr">
        <is>
          <t>2027-05-02</t>
        </is>
      </c>
      <c r="G3" s="6" t="n">
        <v>4940</v>
      </c>
      <c r="H3" s="6" t="n">
        <v>1332713.2</v>
      </c>
      <c r="I3" t="inlineStr">
        <is>
          <t>SOW-2025-011-A3</t>
        </is>
      </c>
      <c r="J3" s="9" t="n">
        <v>1665891.5</v>
      </c>
      <c r="K3" t="inlineStr">
        <is>
          <t>2027-06-30</t>
        </is>
      </c>
      <c r="L3" s="3">
        <f>IF(J3="",H3,J3)</f>
        <v/>
      </c>
      <c r="M3" t="inlineStr">
        <is>
          <t>Lowmarsh Retail Partners - SOW - SOW-2025-011 FINAL v3 (signed).docx</t>
        </is>
      </c>
      <c r="N3" t="inlineStr">
        <is>
          <t>1</t>
        </is>
      </c>
    </row>
    <row r="4">
      <c r="A4" t="inlineStr">
        <is>
          <t>SOW-2025-013</t>
        </is>
      </c>
      <c r="B4" t="inlineStr">
        <is>
          <t>Ashcombe Health Partners</t>
        </is>
      </c>
      <c r="C4" t="inlineStr">
        <is>
          <t>Payments Assessment</t>
        </is>
      </c>
      <c r="D4" t="inlineStr">
        <is>
          <t>Time and materials</t>
        </is>
      </c>
      <c r="E4" t="inlineStr">
        <is>
          <t>2025-09-28</t>
        </is>
      </c>
      <c r="F4" t="inlineStr">
        <is>
          <t>2026-12-08</t>
        </is>
      </c>
      <c r="G4" s="6" t="n">
        <v>3200</v>
      </c>
      <c r="H4" s="6" t="n">
        <v>812800</v>
      </c>
      <c r="L4" s="6">
        <f>H4</f>
        <v/>
      </c>
      <c r="M4" t="inlineStr">
        <is>
          <t>Ashcombe Health Partners - SOW - SOW-2025-013 FINAL v3 (signed).docx</t>
        </is>
      </c>
      <c r="N4" t="inlineStr">
        <is>
          <t>1</t>
        </is>
      </c>
    </row>
    <row r="5">
      <c r="A5" t="inlineStr">
        <is>
          <t>SOW-2025-015</t>
        </is>
      </c>
      <c r="B5" t="inlineStr">
        <is>
          <t>Ashcombe Health Partners</t>
        </is>
      </c>
      <c r="C5" t="inlineStr">
        <is>
          <t>Workforce Planning Programme</t>
        </is>
      </c>
      <c r="D5" t="inlineStr">
        <is>
          <t>Time and materials</t>
        </is>
      </c>
      <c r="E5" t="inlineStr">
        <is>
          <t>2025-11-04</t>
        </is>
      </c>
      <c r="F5" t="inlineStr">
        <is>
          <t>2026-10-16</t>
        </is>
      </c>
      <c r="G5" s="6" t="n">
        <v>3540</v>
      </c>
      <c r="H5" s="6" t="n">
        <v>1069080</v>
      </c>
      <c r="I5" t="inlineStr">
        <is>
          <t>SOW-2025-015-A4</t>
        </is>
      </c>
      <c r="J5" s="9" t="n">
        <v>1208060.4</v>
      </c>
      <c r="K5" t="inlineStr">
        <is>
          <t>2027-01-25</t>
        </is>
      </c>
      <c r="L5" s="3">
        <f>IF(J5="",H5,J5)</f>
        <v/>
      </c>
      <c r="M5" t="inlineStr">
        <is>
          <t>Ashcombe Health Partners - SOW - SOW-2025-015 FINAL v3 (signed).docx</t>
        </is>
      </c>
      <c r="N5" t="inlineStr">
        <is>
          <t>1</t>
        </is>
      </c>
    </row>
    <row r="6">
      <c r="A6" t="inlineStr">
        <is>
          <t>SOW-2025-016</t>
        </is>
      </c>
      <c r="B6" t="inlineStr">
        <is>
          <t>Braemar Retail Corporation</t>
        </is>
      </c>
      <c r="C6" t="inlineStr">
        <is>
          <t>Field Operations Rollout</t>
        </is>
      </c>
      <c r="D6" t="inlineStr">
        <is>
          <t>Time and materials</t>
        </is>
      </c>
      <c r="E6" t="inlineStr">
        <is>
          <t>2025-09-01</t>
        </is>
      </c>
      <c r="F6" t="inlineStr">
        <is>
          <t>2027-03-09</t>
        </is>
      </c>
      <c r="G6" s="6" t="n">
        <v>7980</v>
      </c>
      <c r="H6" s="6" t="n">
        <v>1955100</v>
      </c>
      <c r="L6" s="6">
        <f>H6</f>
        <v/>
      </c>
      <c r="M6" t="inlineStr">
        <is>
          <t>Braemar Retail Corporation - SOW - SOW-2025-016 FINAL v3 (signed).docx</t>
        </is>
      </c>
      <c r="N6" t="inlineStr">
        <is>
          <t>1</t>
        </is>
      </c>
    </row>
    <row r="7">
      <c r="A7" t="inlineStr">
        <is>
          <t>SOW-2025-018</t>
        </is>
      </c>
      <c r="B7" t="inlineStr">
        <is>
          <t>Thornbury Retail Partners</t>
        </is>
      </c>
      <c r="C7" t="inlineStr">
        <is>
          <t>Payments Modernisation</t>
        </is>
      </c>
      <c r="D7" t="inlineStr">
        <is>
          <t>Fixed fee</t>
        </is>
      </c>
      <c r="E7" t="inlineStr">
        <is>
          <t>2025-12-04</t>
        </is>
      </c>
      <c r="F7" t="inlineStr">
        <is>
          <t>2026-12-04</t>
        </is>
      </c>
      <c r="G7" s="6" t="n">
        <v>820</v>
      </c>
      <c r="H7" s="6" t="n">
        <v>217906.8</v>
      </c>
      <c r="L7" s="6">
        <f>H7</f>
        <v/>
      </c>
      <c r="M7" t="inlineStr">
        <is>
          <t>Thornbury Retail Partners - SOW - SOW-2025-018 FINAL v3 (signed).docx</t>
        </is>
      </c>
      <c r="N7" t="inlineStr">
        <is>
          <t>1</t>
        </is>
      </c>
    </row>
    <row r="8">
      <c r="A8" t="inlineStr">
        <is>
          <t>SOW-2025-019</t>
        </is>
      </c>
      <c r="B8" t="inlineStr">
        <is>
          <t>Thornbury Retail Partners</t>
        </is>
      </c>
      <c r="C8" t="inlineStr">
        <is>
          <t>Grid Analytics Assessment</t>
        </is>
      </c>
      <c r="D8" t="inlineStr">
        <is>
          <t>Time and materials</t>
        </is>
      </c>
      <c r="E8" t="inlineStr">
        <is>
          <t>2025-12-03</t>
        </is>
      </c>
      <c r="F8" t="inlineStr">
        <is>
          <t>2026-10-10</t>
        </is>
      </c>
      <c r="G8" s="6" t="n">
        <v>940</v>
      </c>
      <c r="H8" s="6" t="n">
        <v>262260</v>
      </c>
      <c r="I8" t="inlineStr">
        <is>
          <t>SOW-2025-019-A5</t>
        </is>
      </c>
      <c r="J8" s="9" t="n">
        <v>361918.8</v>
      </c>
      <c r="K8" t="inlineStr">
        <is>
          <t>2026-12-07</t>
        </is>
      </c>
      <c r="L8" s="3">
        <f>IF(J8="",H8,J8)</f>
        <v/>
      </c>
      <c r="M8" t="inlineStr">
        <is>
          <t>Thornbury Retail Partners - SOW - SOW-2025-019 FINAL v3 (signed).docx</t>
        </is>
      </c>
      <c r="N8" t="inlineStr">
        <is>
          <t>1</t>
        </is>
      </c>
    </row>
    <row r="9">
      <c r="A9" t="inlineStr">
        <is>
          <t>SOW-2025-020</t>
        </is>
      </c>
      <c r="B9" t="inlineStr">
        <is>
          <t>Quarrymoor Transit Partners</t>
        </is>
      </c>
      <c r="C9" t="inlineStr">
        <is>
          <t>Inventory Implementation</t>
        </is>
      </c>
      <c r="D9" t="inlineStr">
        <is>
          <t>Fixed fee</t>
        </is>
      </c>
      <c r="E9" t="inlineStr">
        <is>
          <t>2025-11-30</t>
        </is>
      </c>
      <c r="F9" t="inlineStr">
        <is>
          <t>2027-04-16</t>
        </is>
      </c>
      <c r="G9" s="6" t="n">
        <v>4840</v>
      </c>
      <c r="H9" s="6" t="n">
        <v>1154243.2</v>
      </c>
      <c r="L9" s="6">
        <f>H9</f>
        <v/>
      </c>
      <c r="M9" t="inlineStr">
        <is>
          <t>Quarrymoor Transit Partners - SOW - SOW-2025-020 FINAL v3 (signed).docx</t>
        </is>
      </c>
      <c r="N9" t="inlineStr">
        <is>
          <t>1</t>
        </is>
      </c>
    </row>
    <row r="10">
      <c r="A10" t="inlineStr">
        <is>
          <t>SOW-2025-023</t>
        </is>
      </c>
      <c r="B10" t="inlineStr">
        <is>
          <t>Fernhollow Financial Trust</t>
        </is>
      </c>
      <c r="C10" t="inlineStr">
        <is>
          <t>Asset Register Assessment</t>
        </is>
      </c>
      <c r="D10" t="inlineStr">
        <is>
          <t>Fixed fee</t>
        </is>
      </c>
      <c r="E10" t="inlineStr">
        <is>
          <t>2025-12-30</t>
        </is>
      </c>
      <c r="F10" t="inlineStr">
        <is>
          <t>2027-01-11</t>
        </is>
      </c>
      <c r="G10" s="6" t="n">
        <v>1840</v>
      </c>
      <c r="H10" s="6" t="n">
        <v>455731.2</v>
      </c>
      <c r="I10" t="inlineStr">
        <is>
          <t>SOW-2025-023-A6</t>
        </is>
      </c>
      <c r="J10" s="9" t="n">
        <v>587893.25</v>
      </c>
      <c r="K10" t="inlineStr">
        <is>
          <t>2027-02-10</t>
        </is>
      </c>
      <c r="L10" s="3">
        <f>IF(J10="",H10,J10)</f>
        <v/>
      </c>
      <c r="M10" t="inlineStr">
        <is>
          <t>Fernhollow Financial Trust - SOW - SOW-2025-023 FINAL v3 (signed).docx</t>
        </is>
      </c>
      <c r="N10" t="inlineStr">
        <is>
          <t>1</t>
        </is>
      </c>
    </row>
    <row r="11">
      <c r="A11" t="inlineStr">
        <is>
          <t>SOW-2025-025</t>
        </is>
      </c>
      <c r="B11" t="inlineStr">
        <is>
          <t>Stonebridge Energy Group</t>
        </is>
      </c>
      <c r="C11" t="inlineStr">
        <is>
          <t>Billing Platform Implementation</t>
        </is>
      </c>
      <c r="D11" t="inlineStr">
        <is>
          <t>Time and materials</t>
        </is>
      </c>
      <c r="E11" t="inlineStr">
        <is>
          <t>2025-11-11</t>
        </is>
      </c>
      <c r="F11" t="inlineStr">
        <is>
          <t>2026-10-25</t>
        </is>
      </c>
      <c r="G11" s="6" t="n">
        <v>2440</v>
      </c>
      <c r="H11" s="6" t="n">
        <v>688080</v>
      </c>
      <c r="L11" s="6">
        <f>H11</f>
        <v/>
      </c>
      <c r="M11" t="inlineStr">
        <is>
          <t>Stonebridge Energy Group - SOW - SOW-2025-025 FINAL v3 (signed).docx</t>
        </is>
      </c>
      <c r="N11" t="inlineStr">
        <is>
          <t>1</t>
        </is>
      </c>
    </row>
    <row r="12">
      <c r="A12" t="inlineStr">
        <is>
          <t>SOW-2026-002</t>
        </is>
      </c>
      <c r="B12" t="inlineStr">
        <is>
          <t>Oakhaven Logistics Collective</t>
        </is>
      </c>
      <c r="C12" t="inlineStr">
        <is>
          <t>Credit Risk Migration</t>
        </is>
      </c>
      <c r="D12" t="inlineStr">
        <is>
          <t>Fixed fee</t>
        </is>
      </c>
      <c r="E12" t="inlineStr">
        <is>
          <t>2026-01-28</t>
        </is>
      </c>
      <c r="F12" t="inlineStr">
        <is>
          <t>2026-08-21</t>
        </is>
      </c>
      <c r="G12" s="6" t="n">
        <v>1980</v>
      </c>
      <c r="H12" s="6" t="n">
        <v>420591.6</v>
      </c>
      <c r="I12" t="inlineStr">
        <is>
          <t>SOW-2026-002-A1</t>
        </is>
      </c>
      <c r="J12" s="9" t="n">
        <v>492092.17</v>
      </c>
      <c r="K12" t="inlineStr">
        <is>
          <t>2026-12-04</t>
        </is>
      </c>
      <c r="L12" s="3">
        <f>IF(J12="",H12,J12)</f>
        <v/>
      </c>
      <c r="M12" t="inlineStr">
        <is>
          <t>Oakhaven Logistics Collective - SOW - SOW-2026-002 FINAL v3 (signed).docx</t>
        </is>
      </c>
      <c r="N12" t="inlineStr">
        <is>
          <t>1</t>
        </is>
      </c>
    </row>
    <row r="13">
      <c r="A13" t="inlineStr">
        <is>
          <t>SOW-2026-003</t>
        </is>
      </c>
      <c r="B13" t="inlineStr">
        <is>
          <t>Ashcombe Health Partners</t>
        </is>
      </c>
      <c r="C13" t="inlineStr">
        <is>
          <t>Revenue Assurance Optimisation</t>
        </is>
      </c>
      <c r="D13" t="inlineStr">
        <is>
          <t>Time and materials</t>
        </is>
      </c>
      <c r="E13" t="inlineStr">
        <is>
          <t>2026-01-09</t>
        </is>
      </c>
      <c r="F13" t="inlineStr">
        <is>
          <t>2026-10-31</t>
        </is>
      </c>
      <c r="G13" s="6" t="n">
        <v>940</v>
      </c>
      <c r="H13" s="6" t="n">
        <v>232180</v>
      </c>
      <c r="L13" s="6">
        <f>H13</f>
        <v/>
      </c>
      <c r="M13" t="inlineStr">
        <is>
          <t>Ashcombe Health Partners - SOW - SOW-2026-003 FINAL v3 (signed).docx</t>
        </is>
      </c>
      <c r="N13" t="inlineStr">
        <is>
          <t>1</t>
        </is>
      </c>
    </row>
    <row r="14">
      <c r="A14" t="inlineStr">
        <is>
          <t>SOW-2026-005</t>
        </is>
      </c>
      <c r="B14" t="inlineStr">
        <is>
          <t>Pentland Media Group</t>
        </is>
      </c>
      <c r="C14" t="inlineStr">
        <is>
          <t>Procurement Modernisation</t>
        </is>
      </c>
      <c r="D14" t="inlineStr">
        <is>
          <t>Fixed fee</t>
        </is>
      </c>
      <c r="E14" t="inlineStr">
        <is>
          <t>2026-01-31</t>
        </is>
      </c>
      <c r="F14" t="inlineStr">
        <is>
          <t>2026-10-10</t>
        </is>
      </c>
      <c r="G14" s="6" t="n">
        <v>2690</v>
      </c>
      <c r="H14" s="6" t="n">
        <v>133038.43</v>
      </c>
      <c r="L14" s="6">
        <f>H14</f>
        <v/>
      </c>
      <c r="M14" t="inlineStr">
        <is>
          <t>Pentland Media Group - SOW - SOW-2026-005 FINAL v3 (signed).docx</t>
        </is>
      </c>
      <c r="N14" t="inlineStr">
        <is>
          <t>1</t>
        </is>
      </c>
    </row>
    <row r="15">
      <c r="A15" t="inlineStr">
        <is>
          <t>SOW-2026-007</t>
        </is>
      </c>
      <c r="B15" t="inlineStr">
        <is>
          <t>Braemar Retail Corporation</t>
        </is>
      </c>
      <c r="C15" t="inlineStr">
        <is>
          <t>Revenue Assurance Discovery</t>
        </is>
      </c>
      <c r="D15" t="inlineStr">
        <is>
          <t>Time and materials</t>
        </is>
      </c>
      <c r="E15" t="inlineStr">
        <is>
          <t>2026-02-19</t>
        </is>
      </c>
      <c r="F15" t="inlineStr">
        <is>
          <t>2027-02-27</t>
        </is>
      </c>
      <c r="G15" s="6" t="n">
        <v>1480</v>
      </c>
      <c r="H15" s="6" t="n">
        <v>393680</v>
      </c>
      <c r="I15" t="inlineStr">
        <is>
          <t>SOW-2026-007-A2</t>
        </is>
      </c>
      <c r="J15" s="9" t="n">
        <v>448795.2</v>
      </c>
      <c r="K15" t="inlineStr">
        <is>
          <t>2027-04-01</t>
        </is>
      </c>
      <c r="L15" s="3">
        <f>IF(J15="",H15,J15)</f>
        <v/>
      </c>
      <c r="M15" t="inlineStr">
        <is>
          <t>Braemar Retail Corporation - SOW - SOW-2026-007 FINAL v3 (signed).docx</t>
        </is>
      </c>
      <c r="N15" t="inlineStr">
        <is>
          <t>1</t>
        </is>
      </c>
    </row>
    <row r="16">
      <c r="A16" t="inlineStr">
        <is>
          <t>SOW-2026-009</t>
        </is>
      </c>
      <c r="B16" t="inlineStr">
        <is>
          <t>Northfield Municipal Group</t>
        </is>
      </c>
      <c r="C16" t="inlineStr">
        <is>
          <t>Pricing Modernisation</t>
        </is>
      </c>
      <c r="D16" t="inlineStr">
        <is>
          <t>Fixed fee</t>
        </is>
      </c>
      <c r="E16" t="inlineStr">
        <is>
          <t>2026-01-23</t>
        </is>
      </c>
      <c r="F16" t="inlineStr">
        <is>
          <t>2026-11-10</t>
        </is>
      </c>
      <c r="G16" s="6" t="n">
        <v>780</v>
      </c>
      <c r="H16" s="6" t="n">
        <v>241737.6</v>
      </c>
      <c r="L16" s="6">
        <f>H16</f>
        <v/>
      </c>
      <c r="M16" t="inlineStr">
        <is>
          <t>Northfield Municipal Group - SOW - SOW-2026-009 FINAL v3 (signed).docx</t>
        </is>
      </c>
      <c r="N16" t="inlineStr">
        <is>
          <t>1</t>
        </is>
      </c>
    </row>
    <row r="17">
      <c r="A17" t="inlineStr">
        <is>
          <t>SOW-2026-012</t>
        </is>
      </c>
      <c r="B17" t="inlineStr">
        <is>
          <t>Stonebridge Energy Group</t>
        </is>
      </c>
      <c r="C17" t="inlineStr">
        <is>
          <t>Credit Risk Programme</t>
        </is>
      </c>
      <c r="D17" t="inlineStr">
        <is>
          <t>Time and materials</t>
        </is>
      </c>
      <c r="E17" t="inlineStr">
        <is>
          <t>2026-01-14</t>
        </is>
      </c>
      <c r="F17" t="inlineStr">
        <is>
          <t>2026-09-24</t>
        </is>
      </c>
      <c r="G17" s="6" t="n">
        <v>1480</v>
      </c>
      <c r="H17" s="6" t="n">
        <v>478040</v>
      </c>
      <c r="L17" s="6">
        <f>H17</f>
        <v/>
      </c>
      <c r="M17" t="inlineStr">
        <is>
          <t>Stonebridge Energy Group - SOW - SOW-2026-012 FINAL v3 (signed).docx</t>
        </is>
      </c>
      <c r="N17" t="inlineStr">
        <is>
          <t>1</t>
        </is>
      </c>
    </row>
    <row r="18">
      <c r="A18" t="inlineStr">
        <is>
          <t>SOW-2026-022</t>
        </is>
      </c>
      <c r="B18" t="inlineStr">
        <is>
          <t>Fernhollow Financial Trust</t>
        </is>
      </c>
      <c r="C18" t="inlineStr">
        <is>
          <t>Billing Platform Assessment</t>
        </is>
      </c>
      <c r="D18" t="inlineStr">
        <is>
          <t>Time and materials</t>
        </is>
      </c>
      <c r="E18" t="inlineStr">
        <is>
          <t>2026-02-19</t>
        </is>
      </c>
      <c r="F18" t="inlineStr">
        <is>
          <t>2027-01-25</t>
        </is>
      </c>
      <c r="G18" s="6" t="n">
        <v>1520</v>
      </c>
      <c r="H18" s="6" t="n">
        <v>443840</v>
      </c>
      <c r="L18" s="6">
        <f>H18</f>
        <v/>
      </c>
      <c r="M18" t="inlineStr">
        <is>
          <t>Fernhollow Financial Trust - SOW - SOW-2026-022 FINAL v3 (signed).docx</t>
        </is>
      </c>
      <c r="N18" t="inlineStr">
        <is>
          <t>1</t>
        </is>
      </c>
    </row>
    <row r="19">
      <c r="A19" t="inlineStr">
        <is>
          <t>SOW-2026-029</t>
        </is>
      </c>
      <c r="B19" t="inlineStr">
        <is>
          <t>Merrivale Maritime Corporation</t>
        </is>
      </c>
      <c r="C19" t="inlineStr">
        <is>
          <t>Grid Analytics Integration</t>
        </is>
      </c>
      <c r="D19" t="inlineStr">
        <is>
          <t>Fixed fee</t>
        </is>
      </c>
      <c r="E19" t="inlineStr">
        <is>
          <t>2026-01-26</t>
        </is>
      </c>
      <c r="F19" t="inlineStr">
        <is>
          <t>2026-12-26</t>
        </is>
      </c>
      <c r="G19" s="6" t="n">
        <v>1960</v>
      </c>
      <c r="H19" s="6" t="n">
        <v>482904.8</v>
      </c>
      <c r="L19" s="6">
        <f>H19</f>
        <v/>
      </c>
      <c r="M19" t="inlineStr">
        <is>
          <t>Merrivale Maritime Corporation - SOW - SOW-2026-029 FINAL v3 (signed).docx</t>
        </is>
      </c>
      <c r="N19" t="inlineStr">
        <is>
          <t>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6" customWidth="1" min="3" max="3"/>
    <col width="74" customWidth="1" min="4" max="4"/>
    <col width="32" customWidth="1" min="5" max="5"/>
  </cols>
  <sheetData>
    <row r="1">
      <c r="A1" s="5" t="inlineStr">
        <is>
          <t>Document</t>
        </is>
      </c>
      <c r="B1" s="5" t="inlineStr">
        <is>
          <t>Type</t>
        </is>
      </c>
      <c r="C1" s="5" t="inlineStr">
        <is>
          <t>Issue</t>
        </is>
      </c>
      <c r="D1" s="5" t="inlineStr">
        <is>
          <t>Detail</t>
        </is>
      </c>
      <c r="E1" s="5" t="inlineStr">
        <is>
          <t>Source file</t>
        </is>
      </c>
    </row>
    <row r="2">
      <c r="A2" t="inlineStr">
        <is>
          <t>FW_ Your Meridian Print account.eml</t>
        </is>
      </c>
      <c r="B2" t="inlineStr">
        <is>
          <t>out_of_scope</t>
        </is>
      </c>
      <c r="C2" s="7" t="inlineStr">
        <is>
          <t>out of scope</t>
        </is>
      </c>
      <c r="D2" s="10" t="inlineStr">
        <is>
          <t>not the firm's paperwork; no fields extracted</t>
        </is>
      </c>
      <c r="E2" t="inlineStr">
        <is>
          <t>FW_ Your Meridian Print account.eml</t>
        </is>
      </c>
    </row>
    <row r="3">
      <c r="A3" t="inlineStr">
        <is>
          <t>INV-2026-1500</t>
        </is>
      </c>
      <c r="B3" t="inlineStr">
        <is>
          <t>invoice</t>
        </is>
      </c>
      <c r="C3" s="11" t="inlineStr">
        <is>
          <t>net_amount unreadable</t>
        </is>
      </c>
      <c r="D3" s="10" t="inlineStr">
        <is>
          <t>the page ends immediately below the line-item table; the totals block was cut off by the scanner margin and is not on the page</t>
        </is>
      </c>
      <c r="E3" t="inlineStr">
        <is>
          <t>scan_20260814_119189.pdf</t>
        </is>
      </c>
    </row>
    <row r="4">
      <c r="A4" t="inlineStr">
        <is>
          <t>INV-2026-1500</t>
        </is>
      </c>
      <c r="B4" t="inlineStr">
        <is>
          <t>invoice</t>
        </is>
      </c>
      <c r="C4" s="11" t="inlineStr">
        <is>
          <t>retainer_credit unreadable</t>
        </is>
      </c>
      <c r="D4" s="10" t="inlineStr">
        <is>
          <t>the page ends immediately below the line-item table; the totals block was cut off by the scanner margin and is not on the page</t>
        </is>
      </c>
      <c r="E4" t="inlineStr">
        <is>
          <t>scan_20260814_119189.pdf</t>
        </is>
      </c>
    </row>
    <row r="5">
      <c r="A5" t="inlineStr">
        <is>
          <t>INV-2026-1500</t>
        </is>
      </c>
      <c r="B5" t="inlineStr">
        <is>
          <t>invoice</t>
        </is>
      </c>
      <c r="C5" s="11" t="inlineStr">
        <is>
          <t>subtotal unreadable</t>
        </is>
      </c>
      <c r="D5" s="10" t="inlineStr">
        <is>
          <t>the page ends immediately below the line-item table; the totals block was cut off by the scanner margin and is not on the page</t>
        </is>
      </c>
      <c r="E5" t="inlineStr">
        <is>
          <t>scan_20260814_119189.pdf</t>
        </is>
      </c>
    </row>
    <row r="6">
      <c r="A6" t="inlineStr">
        <is>
          <t>INV-2026-1500</t>
        </is>
      </c>
      <c r="B6" t="inlineStr">
        <is>
          <t>invoice</t>
        </is>
      </c>
      <c r="C6" s="11" t="inlineStr">
        <is>
          <t>tax_amount unreadable</t>
        </is>
      </c>
      <c r="D6" s="10" t="inlineStr">
        <is>
          <t>the page ends immediately below the line-item table; the totals block was cut off by the scanner margin and is not on the page</t>
        </is>
      </c>
      <c r="E6" t="inlineStr">
        <is>
          <t>scan_20260814_119189.pdf</t>
        </is>
      </c>
    </row>
    <row r="7">
      <c r="A7" t="inlineStr">
        <is>
          <t>INV-2026-1500</t>
        </is>
      </c>
      <c r="B7" t="inlineStr">
        <is>
          <t>invoice</t>
        </is>
      </c>
      <c r="C7" s="11" t="inlineStr">
        <is>
          <t>total_due unreadable</t>
        </is>
      </c>
      <c r="D7" s="10" t="inlineStr">
        <is>
          <t>the page ends immediately below the line-item table; the totals block was cut off by the scanner margin and is not on the page. Not derived from the three visible line amounts: this invoice carries a retainer credit between subtotal and net, so the total is not the sum of the amount column. REM-2026-8461 (scan_20260814_123410.pdf) states 34,906.40 settled against this invoice number, which is a figure for a reviewer to confirm against a clean copy, not a figure this document asserts</t>
        </is>
      </c>
      <c r="E7" t="inlineStr">
        <is>
          <t>scan_20260814_119189.pdf</t>
        </is>
      </c>
    </row>
    <row r="8">
      <c r="A8" t="inlineStr">
        <is>
          <t>INV-2026-1596</t>
        </is>
      </c>
      <c r="B8" t="inlineStr">
        <is>
          <t>invoice</t>
        </is>
      </c>
      <c r="C8" s="7" t="inlineStr">
        <is>
          <t>payment_terms contradicted</t>
        </is>
      </c>
      <c r="D8" s="10" t="inlineStr">
        <is>
          <t>the printed value is recorded; a handwritten note in the margin below it reads "net 14 days not 30 -- agreed w/ MJ 12/8", which contradicts the printed terms. Neither has been preferred - the conflict needs a human decision, and the due date printed on the page is still 30 days after issue</t>
        </is>
      </c>
      <c r="E8" t="inlineStr">
        <is>
          <t>scan_20260814_120638.pdf</t>
        </is>
      </c>
    </row>
    <row r="9">
      <c r="A9" t="inlineStr">
        <is>
          <t>INV-2026-1614</t>
        </is>
      </c>
      <c r="B9" t="inlineStr">
        <is>
          <t>invoice</t>
        </is>
      </c>
      <c r="C9" s="7" t="inlineStr">
        <is>
          <t>duplicate</t>
        </is>
      </c>
      <c r="D9" s="10" t="inlineStr">
        <is>
          <t>a second copy of INV-2026-1614; excluded from totals</t>
        </is>
      </c>
      <c r="E9" t="inlineStr">
        <is>
          <t>INV-2026-1614 (1).pdf</t>
        </is>
      </c>
    </row>
    <row r="10">
      <c r="A10" t="inlineStr">
        <is>
          <t>SOW-2025-011-A3</t>
        </is>
      </c>
      <c r="B10" t="inlineStr">
        <is>
          <t>sow_amendment</t>
        </is>
      </c>
      <c r="C10" s="7" t="inlineStr">
        <is>
          <t>supersedes</t>
        </is>
      </c>
      <c r="D10" s="10" t="inlineStr">
        <is>
          <t>replaces SOW-2025-011, whose figures are stale</t>
        </is>
      </c>
      <c r="E10" t="inlineStr">
        <is>
          <t>Lowmarsh Retail Partners - SOW-2025-011 amendment A3.docx</t>
        </is>
      </c>
    </row>
    <row r="11">
      <c r="A11" t="inlineStr">
        <is>
          <t>SOW-2025-015-A4</t>
        </is>
      </c>
      <c r="B11" t="inlineStr">
        <is>
          <t>sow_amendment</t>
        </is>
      </c>
      <c r="C11" s="7" t="inlineStr">
        <is>
          <t>supersedes</t>
        </is>
      </c>
      <c r="D11" s="10" t="inlineStr">
        <is>
          <t>replaces SOW-2025-015, whose figures are stale</t>
        </is>
      </c>
      <c r="E11" t="inlineStr">
        <is>
          <t>Ashcombe Health Partners - SOW-2025-015 amendment A4.docx</t>
        </is>
      </c>
    </row>
    <row r="12">
      <c r="A12" t="inlineStr">
        <is>
          <t>SOW-2025-019-A5</t>
        </is>
      </c>
      <c r="B12" t="inlineStr">
        <is>
          <t>sow_amendment</t>
        </is>
      </c>
      <c r="C12" s="7" t="inlineStr">
        <is>
          <t>supersedes</t>
        </is>
      </c>
      <c r="D12" s="10" t="inlineStr">
        <is>
          <t>replaces SOW-2025-019, whose figures are stale</t>
        </is>
      </c>
      <c r="E12" t="inlineStr">
        <is>
          <t>Thornbury Retail Partners - SOW-2025-019 amendment A5.docx</t>
        </is>
      </c>
    </row>
    <row r="13">
      <c r="A13" t="inlineStr">
        <is>
          <t>SOW-2025-023-A6</t>
        </is>
      </c>
      <c r="B13" t="inlineStr">
        <is>
          <t>sow_amendment</t>
        </is>
      </c>
      <c r="C13" s="7" t="inlineStr">
        <is>
          <t>supersedes</t>
        </is>
      </c>
      <c r="D13" s="10" t="inlineStr">
        <is>
          <t>replaces SOW-2025-023, whose figures are stale</t>
        </is>
      </c>
      <c r="E13" t="inlineStr">
        <is>
          <t>Fernhollow Financial Trust - SOW-2025-023 amendment A6.docx</t>
        </is>
      </c>
    </row>
    <row r="14">
      <c r="A14" t="inlineStr">
        <is>
          <t>SOW-2026-002-A1</t>
        </is>
      </c>
      <c r="B14" t="inlineStr">
        <is>
          <t>sow_amendment</t>
        </is>
      </c>
      <c r="C14" s="7" t="inlineStr">
        <is>
          <t>supersedes</t>
        </is>
      </c>
      <c r="D14" s="10" t="inlineStr">
        <is>
          <t>replaces SOW-2026-002, whose figures are stale</t>
        </is>
      </c>
      <c r="E14" t="inlineStr">
        <is>
          <t>Oakhaven Logistics Collective - SOW-2026-002 amendment A1.docx</t>
        </is>
      </c>
    </row>
    <row r="15">
      <c r="A15" t="inlineStr">
        <is>
          <t>SOW-2026-007-A2</t>
        </is>
      </c>
      <c r="B15" t="inlineStr">
        <is>
          <t>sow_amendment</t>
        </is>
      </c>
      <c r="C15" s="7" t="inlineStr">
        <is>
          <t>supersedes</t>
        </is>
      </c>
      <c r="D15" s="10" t="inlineStr">
        <is>
          <t>replaces SOW-2026-007, whose figures are stale</t>
        </is>
      </c>
      <c r="E15" t="inlineStr">
        <is>
          <t>Braemar Retail Corporation - SOW-2026-007 amendment A2.docx</t>
        </is>
      </c>
    </row>
    <row r="16">
      <c r="A16" t="inlineStr">
        <is>
          <t>STM-2026-101</t>
        </is>
      </c>
      <c r="B16" t="inlineStr">
        <is>
          <t>statement</t>
        </is>
      </c>
      <c r="C16" s="11" t="inlineStr">
        <is>
          <t>invoice_count unreadable</t>
        </is>
      </c>
      <c r="D16" s="10" t="inlineStr">
        <is>
          <t>the INVOICES OUTSTANDING label is present but cell E18 the cell holds an uncalculated formula (=COUNT(E13:E15)) with no stored result, so no count is stated anywhere in the file. It can be recomputed from the 3 invoice rows above it, but that would be a figure produced here rather than one the statement asserts</t>
        </is>
      </c>
      <c r="E16" t="inlineStr">
        <is>
          <t>Statement of account - Ashcombe Health Partners - Aug 2026.xlsx</t>
        </is>
      </c>
    </row>
    <row r="17">
      <c r="A17" t="inlineStr">
        <is>
          <t>STM-2026-101</t>
        </is>
      </c>
      <c r="B17" t="inlineStr">
        <is>
          <t>statement</t>
        </is>
      </c>
      <c r="C17" s="11" t="inlineStr">
        <is>
          <t>total_outstanding unreadable</t>
        </is>
      </c>
      <c r="D17" s="10" t="inlineStr">
        <is>
          <t>the TOTAL OUTSTANDING label is present but cell E17 the cell holds an uncalculated formula (=SUM(E13:E15)) with no stored result, so no balance is stated anywhere in the file. It can be recomputed from the 3 invoice rows above it, but that would be a figure produced here rather than one the statement asserts</t>
        </is>
      </c>
      <c r="E17" t="inlineStr">
        <is>
          <t>Statement of account - Ashcombe Health Partners - Aug 2026.xlsx</t>
        </is>
      </c>
    </row>
    <row r="18">
      <c r="A18" t="inlineStr">
        <is>
          <t>STM-2026-102</t>
        </is>
      </c>
      <c r="B18" t="inlineStr">
        <is>
          <t>statement</t>
        </is>
      </c>
      <c r="C18" s="11" t="inlineStr">
        <is>
          <t>invoice_count unreadable</t>
        </is>
      </c>
      <c r="D18" s="10" t="inlineStr">
        <is>
          <t>the INVOICES OUTSTANDING label is present but cell E17 the cell holds an uncalculated formula (=COUNT(E13:E14)) with no stored result, so no count is stated anywhere in the file. It can be recomputed from the 2 invoice rows above it, but that would be a figure produced here rather than one the statement asserts</t>
        </is>
      </c>
      <c r="E18" t="inlineStr">
        <is>
          <t>Statement of account - Fernhollow Financial Trust - Aug 2026.xlsx</t>
        </is>
      </c>
    </row>
    <row r="19">
      <c r="A19" t="inlineStr">
        <is>
          <t>STM-2026-102</t>
        </is>
      </c>
      <c r="B19" t="inlineStr">
        <is>
          <t>statement</t>
        </is>
      </c>
      <c r="C19" s="11" t="inlineStr">
        <is>
          <t>total_outstanding unreadable</t>
        </is>
      </c>
      <c r="D19" s="10" t="inlineStr">
        <is>
          <t>the TOTAL OUTSTANDING label is present but cell E16 the cell holds an uncalculated formula (=SUM(E13:E14)) with no stored result, so no balance is stated anywhere in the file. It can be recomputed from the 2 invoice rows above it, but that would be a figure produced here rather than one the statement asserts</t>
        </is>
      </c>
      <c r="E19" t="inlineStr">
        <is>
          <t>Statement of account - Fernhollow Financial Trust - Aug 2026.xlsx</t>
        </is>
      </c>
    </row>
    <row r="20">
      <c r="A20" t="inlineStr">
        <is>
          <t>receipt_20260804_lunch.pdf</t>
        </is>
      </c>
      <c r="B20" t="inlineStr">
        <is>
          <t>out_of_scope</t>
        </is>
      </c>
      <c r="C20" s="7" t="inlineStr">
        <is>
          <t>out of scope</t>
        </is>
      </c>
      <c r="D20" s="10" t="inlineStr">
        <is>
          <t>not the firm's paperwork; no fields extracted</t>
        </is>
      </c>
      <c r="E20" t="inlineStr">
        <is>
          <t>receipt_20260804_lunch.pdf</t>
        </is>
      </c>
    </row>
    <row r="21">
      <c r="A21" t="inlineStr">
        <is>
          <t>scan_20260814_113255.pdf</t>
        </is>
      </c>
      <c r="B21" t="inlineStr">
        <is>
          <t>out_of_scope</t>
        </is>
      </c>
      <c r="C21" s="7" t="inlineStr">
        <is>
          <t>out of scope</t>
        </is>
      </c>
      <c r="D21" s="10" t="inlineStr">
        <is>
          <t>not the firm's paperwork; no fields extracted</t>
        </is>
      </c>
      <c r="E21" t="inlineStr">
        <is>
          <t>scan_20260814_113255.pdf</t>
        </is>
      </c>
    </row>
    <row r="22">
      <c r="A22" t="inlineStr">
        <is>
          <t>scan_20260814_124109.pdf</t>
        </is>
      </c>
      <c r="B22" t="inlineStr">
        <is>
          <t>out_of_scope</t>
        </is>
      </c>
      <c r="C22" s="7" t="inlineStr">
        <is>
          <t>out of scope</t>
        </is>
      </c>
      <c r="D22" s="10" t="inlineStr">
        <is>
          <t>not the firm's paperwork; no fields extracted</t>
        </is>
      </c>
      <c r="E22" t="inlineStr">
        <is>
          <t>scan_20260814_124109.pdf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20" customWidth="1" min="3" max="3"/>
    <col width="13" customWidth="1" min="4" max="4"/>
    <col width="18" customWidth="1" min="5" max="5"/>
    <col width="34" customWidth="1" min="6" max="6"/>
    <col width="52" customWidth="1" min="7" max="7"/>
    <col width="30" customWidth="1" min="8" max="8"/>
    <col width="16" customWidth="1" min="9" max="9"/>
  </cols>
  <sheetData>
    <row r="1">
      <c r="A1" s="5" t="inlineStr">
        <is>
          <t>Document</t>
        </is>
      </c>
      <c r="B1" s="5" t="inlineStr">
        <is>
          <t>Type</t>
        </is>
      </c>
      <c r="C1" s="5" t="inlineStr">
        <is>
          <t>Field</t>
        </is>
      </c>
      <c r="D1" s="5" t="inlineStr">
        <is>
          <t>Confidence</t>
        </is>
      </c>
      <c r="E1" s="5" t="inlineStr">
        <is>
          <t>Value</t>
        </is>
      </c>
      <c r="F1" s="5" t="inlineStr">
        <is>
          <t>Evidence</t>
        </is>
      </c>
      <c r="G1" s="5" t="inlineStr">
        <is>
          <t>Reason</t>
        </is>
      </c>
      <c r="H1" s="5" t="inlineStr">
        <is>
          <t>Source file</t>
        </is>
      </c>
      <c r="I1" s="5" t="inlineStr">
        <is>
          <t>Verdict</t>
        </is>
      </c>
    </row>
    <row r="2">
      <c r="A2" t="inlineStr">
        <is>
          <t>INV-2026-1212</t>
        </is>
      </c>
      <c r="B2" t="inlineStr">
        <is>
          <t>invoice</t>
        </is>
      </c>
      <c r="C2" t="inlineStr">
        <is>
          <t>due_date</t>
        </is>
      </c>
      <c r="D2" s="7" t="inlineStr">
        <is>
          <t>low</t>
        </is>
      </c>
      <c r="E2" t="inlineStr">
        <is>
          <t>2026-07-03</t>
        </is>
      </c>
      <c r="F2" t="inlineStr">
        <is>
          <t>page 1, header block, right column</t>
        </is>
      </c>
      <c r="G2" s="10" t="inlineStr">
        <is>
          <t>written 03/07/2026; resolved day-first to match the issue date read the same way, and consistent with the printed Net 30 terms</t>
        </is>
      </c>
      <c r="H2" t="inlineStr">
        <is>
          <t>INV-2026-1212.pdf</t>
        </is>
      </c>
    </row>
    <row r="3">
      <c r="A3" t="inlineStr">
        <is>
          <t>INV-2026-1212</t>
        </is>
      </c>
      <c r="B3" t="inlineStr">
        <is>
          <t>invoice</t>
        </is>
      </c>
      <c r="C3" t="inlineStr">
        <is>
          <t>issue_date</t>
        </is>
      </c>
      <c r="D3" s="7" t="inlineStr">
        <is>
          <t>low</t>
        </is>
      </c>
      <c r="E3" t="inlineStr">
        <is>
          <t>2026-06-03</t>
        </is>
      </c>
      <c r="F3" t="inlineStr">
        <is>
          <t>page 1, header block, right column</t>
        </is>
      </c>
      <c r="G3" s="10" t="inlineStr">
        <is>
          <t>written 03/06/2026; resolved day-first because the billing period is May 2026 and the SOW invoices monthly in arrears, which puts issue in early June rather than 06 March</t>
        </is>
      </c>
      <c r="H3" t="inlineStr">
        <is>
          <t>INV-2026-1212.pdf</t>
        </is>
      </c>
    </row>
    <row r="4">
      <c r="A4" t="inlineStr">
        <is>
          <t>INV-2026-1500</t>
        </is>
      </c>
      <c r="B4" t="inlineStr">
        <is>
          <t>invoice</t>
        </is>
      </c>
      <c r="C4" t="inlineStr">
        <is>
          <t>net_amount</t>
        </is>
      </c>
      <c r="D4" s="11" t="inlineStr">
        <is>
          <t>unreadable</t>
        </is>
      </c>
      <c r="F4" t="inlineStr"/>
      <c r="G4" s="10" t="inlineStr">
        <is>
          <t>the page ends immediately below the line-item table; the totals block was cut off by the scanner margin and is not on the page</t>
        </is>
      </c>
      <c r="H4" t="inlineStr">
        <is>
          <t>scan_20260814_119189.pdf</t>
        </is>
      </c>
    </row>
    <row r="5">
      <c r="A5" t="inlineStr">
        <is>
          <t>INV-2026-1500</t>
        </is>
      </c>
      <c r="B5" t="inlineStr">
        <is>
          <t>invoice</t>
        </is>
      </c>
      <c r="C5" t="inlineStr">
        <is>
          <t>retainer_credit</t>
        </is>
      </c>
      <c r="D5" s="11" t="inlineStr">
        <is>
          <t>unreadable</t>
        </is>
      </c>
      <c r="F5" t="inlineStr"/>
      <c r="G5" s="10" t="inlineStr">
        <is>
          <t>the page ends immediately below the line-item table; the totals block was cut off by the scanner margin and is not on the page</t>
        </is>
      </c>
      <c r="H5" t="inlineStr">
        <is>
          <t>scan_20260814_119189.pdf</t>
        </is>
      </c>
    </row>
    <row r="6">
      <c r="A6" t="inlineStr">
        <is>
          <t>INV-2026-1500</t>
        </is>
      </c>
      <c r="B6" t="inlineStr">
        <is>
          <t>invoice</t>
        </is>
      </c>
      <c r="C6" t="inlineStr">
        <is>
          <t>subtotal</t>
        </is>
      </c>
      <c r="D6" s="11" t="inlineStr">
        <is>
          <t>unreadable</t>
        </is>
      </c>
      <c r="F6" t="inlineStr"/>
      <c r="G6" s="10" t="inlineStr">
        <is>
          <t>the page ends immediately below the line-item table; the totals block was cut off by the scanner margin and is not on the page</t>
        </is>
      </c>
      <c r="H6" t="inlineStr">
        <is>
          <t>scan_20260814_119189.pdf</t>
        </is>
      </c>
    </row>
    <row r="7">
      <c r="A7" t="inlineStr">
        <is>
          <t>INV-2026-1500</t>
        </is>
      </c>
      <c r="B7" t="inlineStr">
        <is>
          <t>invoice</t>
        </is>
      </c>
      <c r="C7" t="inlineStr">
        <is>
          <t>tax_amount</t>
        </is>
      </c>
      <c r="D7" s="11" t="inlineStr">
        <is>
          <t>unreadable</t>
        </is>
      </c>
      <c r="F7" t="inlineStr"/>
      <c r="G7" s="10" t="inlineStr">
        <is>
          <t>the page ends immediately below the line-item table; the totals block was cut off by the scanner margin and is not on the page</t>
        </is>
      </c>
      <c r="H7" t="inlineStr">
        <is>
          <t>scan_20260814_119189.pdf</t>
        </is>
      </c>
    </row>
    <row r="8">
      <c r="A8" t="inlineStr">
        <is>
          <t>INV-2026-1500</t>
        </is>
      </c>
      <c r="B8" t="inlineStr">
        <is>
          <t>invoice</t>
        </is>
      </c>
      <c r="C8" t="inlineStr">
        <is>
          <t>total_due</t>
        </is>
      </c>
      <c r="D8" s="11" t="inlineStr">
        <is>
          <t>unreadable</t>
        </is>
      </c>
      <c r="F8" t="inlineStr"/>
      <c r="G8" s="10" t="inlineStr">
        <is>
          <t>the page ends immediately below the line-item table; the totals block was cut off by the scanner margin and is not on the page. Not derived from the three visible line amounts: this invoice carries a retainer credit between subtotal and net, so the total is not the sum of the amount column. REM-2026-8461 (scan_20260814_123410.pdf) states 34,906.40 settled against this invoice number, which is a figure for a reviewer to confirm against a clean copy, not a figure this document asserts</t>
        </is>
      </c>
      <c r="H8" t="inlineStr">
        <is>
          <t>scan_20260814_119189.pdf</t>
        </is>
      </c>
    </row>
    <row r="9">
      <c r="A9" t="inlineStr">
        <is>
          <t>INV-2026-1596</t>
        </is>
      </c>
      <c r="B9" t="inlineStr">
        <is>
          <t>invoice</t>
        </is>
      </c>
      <c r="C9" t="inlineStr">
        <is>
          <t>payment_terms</t>
        </is>
      </c>
      <c r="D9" s="7" t="inlineStr">
        <is>
          <t>low</t>
        </is>
      </c>
      <c r="E9" t="inlineStr">
        <is>
          <t>Net 30 days from date of issue</t>
        </is>
      </c>
      <c r="F9" t="inlineStr">
        <is>
          <t>page 1, payment terms line below the totals block</t>
        </is>
      </c>
      <c r="G9" s="10" t="inlineStr">
        <is>
          <t>the printed value is recorded; a handwritten note in the margin below it reads "net 14 days not 30 -- agreed w/ MJ 12/8", which contradicts the printed terms. Neither has been preferred - the conflict needs a human decision, and the due date printed on the page is still 30 days after issue</t>
        </is>
      </c>
      <c r="H9" t="inlineStr">
        <is>
          <t>scan_20260814_120638.pdf</t>
        </is>
      </c>
    </row>
    <row r="10">
      <c r="A10" t="inlineStr">
        <is>
          <t>STM-2026-101</t>
        </is>
      </c>
      <c r="B10" t="inlineStr">
        <is>
          <t>statement</t>
        </is>
      </c>
      <c r="C10" t="inlineStr">
        <is>
          <t>invoice_count</t>
        </is>
      </c>
      <c r="D10" s="11" t="inlineStr">
        <is>
          <t>unreadable</t>
        </is>
      </c>
      <c r="F10" t="inlineStr"/>
      <c r="G10" s="10" t="inlineStr">
        <is>
          <t>the INVOICES OUTSTANDING label is present but cell E18 the cell holds an uncalculated formula (=COUNT(E13:E15)) with no stored result, so no count is stated anywhere in the file. It can be recomputed from the 3 invoice rows above it, but that would be a figure produced here rather than one the statement asserts</t>
        </is>
      </c>
      <c r="H10" t="inlineStr">
        <is>
          <t>Statement of account - Ashcombe Health Partners - Aug 2026.xlsx</t>
        </is>
      </c>
    </row>
    <row r="11">
      <c r="A11" t="inlineStr">
        <is>
          <t>STM-2026-101</t>
        </is>
      </c>
      <c r="B11" t="inlineStr">
        <is>
          <t>statement</t>
        </is>
      </c>
      <c r="C11" t="inlineStr">
        <is>
          <t>total_outstanding</t>
        </is>
      </c>
      <c r="D11" s="11" t="inlineStr">
        <is>
          <t>unreadable</t>
        </is>
      </c>
      <c r="F11" t="inlineStr"/>
      <c r="G11" s="10" t="inlineStr">
        <is>
          <t>the TOTAL OUTSTANDING label is present but cell E17 the cell holds an uncalculated formula (=SUM(E13:E15)) with no stored result, so no balance is stated anywhere in the file. It can be recomputed from the 3 invoice rows above it, but that would be a figure produced here rather than one the statement asserts</t>
        </is>
      </c>
      <c r="H11" t="inlineStr">
        <is>
          <t>Statement of account - Ashcombe Health Partners - Aug 2026.xlsx</t>
        </is>
      </c>
    </row>
    <row r="12">
      <c r="A12" t="inlineStr">
        <is>
          <t>STM-2026-102</t>
        </is>
      </c>
      <c r="B12" t="inlineStr">
        <is>
          <t>statement</t>
        </is>
      </c>
      <c r="C12" t="inlineStr">
        <is>
          <t>invoice_count</t>
        </is>
      </c>
      <c r="D12" s="11" t="inlineStr">
        <is>
          <t>unreadable</t>
        </is>
      </c>
      <c r="F12" t="inlineStr"/>
      <c r="G12" s="10" t="inlineStr">
        <is>
          <t>the INVOICES OUTSTANDING label is present but cell E17 the cell holds an uncalculated formula (=COUNT(E13:E14)) with no stored result, so no count is stated anywhere in the file. It can be recomputed from the 2 invoice rows above it, but that would be a figure produced here rather than one the statement asserts</t>
        </is>
      </c>
      <c r="H12" t="inlineStr">
        <is>
          <t>Statement of account - Fernhollow Financial Trust - Aug 2026.xlsx</t>
        </is>
      </c>
    </row>
    <row r="13">
      <c r="A13" t="inlineStr">
        <is>
          <t>STM-2026-102</t>
        </is>
      </c>
      <c r="B13" t="inlineStr">
        <is>
          <t>statement</t>
        </is>
      </c>
      <c r="C13" t="inlineStr">
        <is>
          <t>total_outstanding</t>
        </is>
      </c>
      <c r="D13" s="11" t="inlineStr">
        <is>
          <t>unreadable</t>
        </is>
      </c>
      <c r="F13" t="inlineStr"/>
      <c r="G13" s="10" t="inlineStr">
        <is>
          <t>the TOTAL OUTSTANDING label is present but cell E16 the cell holds an uncalculated formula (=SUM(E13:E14)) with no stored result, so no balance is stated anywhere in the file. It can be recomputed from the 2 invoice rows above it, but that would be a figure produced here rather than one the statement asserts</t>
        </is>
      </c>
      <c r="H13" t="inlineStr">
        <is>
          <t>Statement of account - Fernhollow Financial Trust - Aug 2026.xlsx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2026-09-04T03:58:16Z</dcterms:created>
  <dcterms:modified xmlns:dcterms="http://purl.org/dc/terms/" xmlns:xsi="http://www.w3.org/2001/XMLSchema-instance" xsi:type="dcterms:W3CDTF">2026-09-04T03:58:16Z</dcterms:modified>
</cp:coreProperties>
</file>