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voices" sheetId="2" state="visible" r:id="rId2"/>
    <sheet xmlns:r="http://schemas.openxmlformats.org/officeDocument/2006/relationships" name="Engagements" sheetId="3" state="visible" r:id="rId3"/>
    <sheet xmlns:r="http://schemas.openxmlformats.org/officeDocument/2006/relationships" name="Exceptions" sheetId="4" state="visible" r:id="rId4"/>
    <sheet xmlns:r="http://schemas.openxmlformats.org/officeDocument/2006/relationships" name="QA"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FE8B0"/>
      </patternFill>
    </fill>
    <fill>
      <patternFill patternType="solid">
        <fgColor rgb="00F8C9C4"/>
      </patternFill>
    </fill>
  </fills>
  <borders count="1">
    <border>
      <left/>
      <right/>
      <top/>
      <bottom/>
      <diagonal/>
    </border>
  </borders>
  <cellStyleXfs count="1">
    <xf numFmtId="0" fontId="0" fillId="0" borderId="0"/>
  </cellStyleXfs>
  <cellXfs count="12">
    <xf numFmtId="0" fontId="0" fillId="0" borderId="0" pivotButton="0" quotePrefix="0" xfId="0"/>
    <xf numFmtId="0" fontId="3" fillId="0" borderId="0" pivotButton="0" quotePrefix="0" xfId="0"/>
    <xf numFmtId="0" fontId="2" fillId="0" borderId="0" pivotButton="0" quotePrefix="0" xfId="0"/>
    <xf numFmtId="4" fontId="2" fillId="0" borderId="0" pivotButton="0" quotePrefix="0" xfId="0"/>
    <xf numFmtId="0" fontId="0" fillId="0" borderId="0" applyAlignment="1" pivotButton="0" quotePrefix="0" xfId="0">
      <alignment vertical="center"/>
    </xf>
    <xf numFmtId="0" fontId="1" fillId="2" borderId="0" applyAlignment="1" pivotButton="0" quotePrefix="0" xfId="0">
      <alignment vertical="center" wrapText="1"/>
    </xf>
    <xf numFmtId="4" fontId="0" fillId="0" borderId="0" pivotButton="0" quotePrefix="0" xfId="0"/>
    <xf numFmtId="0" fontId="0" fillId="3" borderId="0" pivotButton="0" quotePrefix="0" xfId="0"/>
    <xf numFmtId="4" fontId="0" fillId="4" borderId="0" pivotButton="0" quotePrefix="0" xfId="0"/>
    <xf numFmtId="4" fontId="0" fillId="3" borderId="0" pivotButton="0" quotePrefix="0" xfId="0"/>
    <xf numFmtId="0" fontId="0" fillId="0" borderId="0" applyAlignment="1" pivotButton="0" quotePrefix="0" xfId="0">
      <alignment vertical="top" wrapText="1"/>
    </xf>
    <xf numFmtId="0" fontId="0" fillId="4" borderId="0" pivotButton="0" quotePrefix="0" xfId="0"/>
  </cellXfs>
  <cellStyles count="1">
    <cellStyle name="Normal" xfId="0" builtinId="0" hidden="0"/>
  </cellStyles>
  <dxfs count="1">
    <dxf>
      <fill>
        <patternFill patternType="solid">
          <fgColor rgb="00FFE8B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DocMess</author>
  </authors>
  <commentList>
    <comment ref="F16" authorId="0" shapeId="0">
      <text>
        <t>low: printed 03/06/2026, which is ambiguous between day-first and month-first; read day-first because the billing period printed on the same document is May 2026 and the SOW invoices monthly in arrears, and because the printed payment due date 03/07/2026 is exactly the stated Net 30 days later only on the day-first reading</t>
      </text>
    </comment>
    <comment ref="G16" authorId="0" shapeId="0">
      <text>
        <t>low: printed 03/07/2026, ambiguous between day-first and month-first; read day-first to match the issue date on the same document and the printed Net 30 day terms</t>
      </text>
    </comment>
    <comment ref="L27" authorId="0" shapeId="0">
      <text>
        <t>unreadable: the scan ends immediately after the third line item; the whole totals block, including the TOTAL DUE line, is below the scan margin and is not on the page. REM-2026-8461 in this same folder settles INV-2026-1500 at 34,906.40, but that figure belongs to the remittance and has deliberately not been carried across to this invoice</t>
      </text>
    </comment>
    <comment ref="M30" authorId="0" shapeId="0">
      <text>
        <t>low: a handwritten note below the payment block reads 'net 14 days not 30 -- agreed w/ MJ 12/8', contradicting the printed terms. The printed value is recorded; the annotation is unsigned and undated as to year and has not been applied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42" customWidth="1" min="1" max="1"/>
    <col width="20" customWidth="1" min="2" max="2"/>
    <col width="58" customWidth="1" min="3" max="3"/>
  </cols>
  <sheetData>
    <row r="1">
      <c r="A1" s="1" t="inlineStr">
        <is>
          <t>Extraction review</t>
        </is>
      </c>
    </row>
    <row r="2">
      <c r="A2" t="inlineStr">
        <is>
          <t>Source: extractions.json</t>
        </is>
      </c>
    </row>
    <row r="3">
      <c r="A3" t="inlineStr">
        <is>
          <t>74 document records</t>
        </is>
      </c>
    </row>
    <row r="5">
      <c r="A5" s="2" t="inlineStr">
        <is>
          <t>Documents by type</t>
        </is>
      </c>
    </row>
    <row r="6">
      <c r="A6" t="inlineStr">
        <is>
          <t>sow</t>
        </is>
      </c>
      <c r="B6" t="n">
        <v>18</v>
      </c>
    </row>
    <row r="7">
      <c r="A7" t="inlineStr">
        <is>
          <t>sow_amendment</t>
        </is>
      </c>
      <c r="B7" t="n">
        <v>6</v>
      </c>
    </row>
    <row r="8">
      <c r="A8" t="inlineStr">
        <is>
          <t>invoice</t>
        </is>
      </c>
      <c r="B8" t="n">
        <v>36</v>
      </c>
    </row>
    <row r="9">
      <c r="A9" t="inlineStr">
        <is>
          <t>remittance</t>
        </is>
      </c>
      <c r="B9" t="n">
        <v>8</v>
      </c>
    </row>
    <row r="10">
      <c r="A10" t="inlineStr">
        <is>
          <t>statement</t>
        </is>
      </c>
      <c r="B10" t="n">
        <v>2</v>
      </c>
    </row>
    <row r="11">
      <c r="A11" t="inlineStr">
        <is>
          <t>out_of_scope</t>
        </is>
      </c>
      <c r="B11" t="n">
        <v>4</v>
      </c>
    </row>
    <row r="12">
      <c r="A12" s="2" t="inlineStr">
        <is>
          <t>Total documents</t>
        </is>
      </c>
      <c r="B12" s="2">
        <f>SUM(B6:B11)</f>
        <v/>
      </c>
    </row>
    <row r="14">
      <c r="A14" s="2" t="inlineStr">
        <is>
          <t>Figures</t>
        </is>
      </c>
    </row>
    <row r="15">
      <c r="A15" t="inlineStr">
        <is>
          <t>Total invoiced</t>
        </is>
      </c>
      <c r="B15" s="3">
        <f>'Invoices'!L39</f>
        <v/>
      </c>
      <c r="C15" s="4" t="inlineStr">
        <is>
          <t>the Invoices tab's own total, which is a SUM over its rows -- click through</t>
        </is>
      </c>
    </row>
    <row r="16">
      <c r="A16" t="inlineStr">
        <is>
          <t>Invoices extracted</t>
        </is>
      </c>
      <c r="B16" s="2">
        <f>COUNTA('Invoices'!A2:A237)</f>
        <v/>
      </c>
      <c r="C16" s="4" t="inlineStr">
        <is>
          <t>rows on the Invoices tab</t>
        </is>
      </c>
    </row>
    <row r="17">
      <c r="A17" t="inlineStr">
        <is>
          <t>Invoices missing a total</t>
        </is>
      </c>
      <c r="B17" s="2">
        <f>COUNTBLANK('Invoices'!L2:L37)</f>
        <v/>
      </c>
      <c r="C17" s="4" t="inlineStr">
        <is>
          <t>a blank total is an unreadable figure, not a zero</t>
        </is>
      </c>
    </row>
    <row r="18">
      <c r="A18" t="inlineStr">
        <is>
          <t>Engagements under contract</t>
        </is>
      </c>
      <c r="B18" s="2">
        <f>COUNTA('Engagements'!A2:A19)</f>
        <v/>
      </c>
      <c r="C18" s="4" t="inlineStr">
        <is>
          <t>one per SOW, with any amendment applied in the Current ceiling column</t>
        </is>
      </c>
    </row>
    <row r="19">
      <c r="A19" t="inlineStr">
        <is>
          <t>Fields flagged for review</t>
        </is>
      </c>
      <c r="B19" s="2">
        <f>COUNTA('QA'!C2:C9)</f>
        <v/>
      </c>
      <c r="C19" s="4" t="inlineStr">
        <is>
          <t>every low and unreadable field, listed on the QA tab with its evidence</t>
        </is>
      </c>
    </row>
    <row r="20">
      <c r="A20" t="inlineStr">
        <is>
          <t xml:space="preserve">  of which unreadable</t>
        </is>
      </c>
      <c r="B20" s="2">
        <f>COUNTIF('QA'!D2:D9,"unreadable")</f>
        <v/>
      </c>
      <c r="C20" s="4" t="inlineStr">
        <is>
          <t>the figure was not on the page. Never guessed</t>
        </is>
      </c>
    </row>
    <row r="21">
      <c r="A21" t="inlineStr">
        <is>
          <t xml:space="preserve">  of which low confidence</t>
        </is>
      </c>
      <c r="B21" s="2">
        <f>COUNTIF('QA'!D2:D9,"low")</f>
        <v/>
      </c>
      <c r="C21" s="4" t="inlineStr">
        <is>
          <t>read, but the reading depends on an inference that is written down</t>
        </is>
      </c>
    </row>
    <row r="22">
      <c r="A22" t="inlineStr">
        <is>
          <t>Exceptions to resolve</t>
        </is>
      </c>
      <c r="B22" s="2">
        <f>COUNTA('Exceptions'!A2:A18)</f>
        <v/>
      </c>
      <c r="C22" s="4" t="inlineStr">
        <is>
          <t>duplicates, supersessions, out-of-scope documents and unreadable figures</t>
        </is>
      </c>
    </row>
    <row r="23">
      <c r="A23" t="inlineStr">
        <is>
          <t>Reviewed</t>
        </is>
      </c>
      <c r="B23" s="2">
        <f>COUNTA('QA'!I2:I9)</f>
        <v/>
      </c>
      <c r="C23" s="4" t="inlineStr">
        <is>
          <t>fills in as somebody works down the Verdict column on the QA tab</t>
        </is>
      </c>
    </row>
    <row r="25">
      <c r="A25" s="2" t="inlineStr">
        <is>
          <t>Every figure under Figures is a formula.</t>
        </is>
      </c>
    </row>
    <row r="26">
      <c r="A26" t="inlineStr">
        <is>
          <t>Click one and follow it through to the rows it came from. Nothing there was computed and typed in.</t>
        </is>
      </c>
    </row>
    <row r="27">
      <c r="A27" t="inlineStr">
        <is>
          <t>The counts under Documents by type are a census of the extraction itself, so they are values.</t>
        </is>
      </c>
    </row>
    <row r="28">
      <c r="A28" t="inlineStr">
        <is>
          <t>Amber means low confidence, red means unreadable. Hover any filled cell for the reason.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2" customWidth="1" min="4" max="4"/>
    <col width="11" customWidth="1" min="5" max="5"/>
    <col width="13" customWidth="1" min="6" max="6"/>
    <col width="13" customWidth="1" min="7" max="7"/>
    <col width="14" customWidth="1" min="8" max="8"/>
    <col width="15" customWidth="1" min="9" max="9"/>
    <col width="14" customWidth="1" min="10" max="10"/>
    <col width="12" customWidth="1" min="11" max="11"/>
    <col width="14" customWidth="1" min="12" max="12"/>
    <col width="30" customWidth="1" min="13" max="13"/>
    <col width="34" customWidth="1" min="14" max="14"/>
    <col width="9" customWidth="1" min="15" max="15"/>
  </cols>
  <sheetData>
    <row r="1">
      <c r="A1" s="5" t="inlineStr">
        <is>
          <t>Invoice</t>
        </is>
      </c>
      <c r="B1" s="5" t="inlineStr">
        <is>
          <t>Client</t>
        </is>
      </c>
      <c r="C1" s="5" t="inlineStr">
        <is>
          <t>Engagement</t>
        </is>
      </c>
      <c r="D1" s="5" t="inlineStr">
        <is>
          <t>PO</t>
        </is>
      </c>
      <c r="E1" s="5" t="inlineStr">
        <is>
          <t>Period</t>
        </is>
      </c>
      <c r="F1" s="5" t="inlineStr">
        <is>
          <t>Issued</t>
        </is>
      </c>
      <c r="G1" s="5" t="inlineStr">
        <is>
          <t>Due</t>
        </is>
      </c>
      <c r="H1" s="5" t="inlineStr">
        <is>
          <t>Subtotal</t>
        </is>
      </c>
      <c r="I1" s="5" t="inlineStr">
        <is>
          <t>Retainer credit</t>
        </is>
      </c>
      <c r="J1" s="5" t="inlineStr">
        <is>
          <t>Net</t>
        </is>
      </c>
      <c r="K1" s="5" t="inlineStr">
        <is>
          <t>VAT</t>
        </is>
      </c>
      <c r="L1" s="5" t="inlineStr">
        <is>
          <t>Total due</t>
        </is>
      </c>
      <c r="M1" s="5" t="inlineStr">
        <is>
          <t>Terms</t>
        </is>
      </c>
      <c r="N1" s="5" t="inlineStr">
        <is>
          <t>Source file</t>
        </is>
      </c>
      <c r="O1" s="5" t="inlineStr">
        <is>
          <t>Pages</t>
        </is>
      </c>
    </row>
    <row r="2">
      <c r="A2" t="inlineStr">
        <is>
          <t>INV-2026-0876</t>
        </is>
      </c>
      <c r="B2" t="inlineStr">
        <is>
          <t>Oakhaven Logistics Collective</t>
        </is>
      </c>
      <c r="C2" t="inlineStr">
        <is>
          <t>SOW-2026-002</t>
        </is>
      </c>
      <c r="D2" t="inlineStr">
        <is>
          <t>PO-80678</t>
        </is>
      </c>
      <c r="E2" t="inlineStr">
        <is>
          <t>2026-06</t>
        </is>
      </c>
      <c r="F2" t="inlineStr">
        <is>
          <t>2026-07-09</t>
        </is>
      </c>
      <c r="G2" t="inlineStr">
        <is>
          <t>2026-08-08</t>
        </is>
      </c>
      <c r="H2" s="6" t="n">
        <v>79912.83</v>
      </c>
      <c r="I2" s="6" t="n">
        <v>-9814.23</v>
      </c>
      <c r="J2" s="6" t="n">
        <v>70098.60000000001</v>
      </c>
      <c r="K2" s="6" t="n">
        <v>14019.72</v>
      </c>
      <c r="L2" s="6" t="n">
        <v>84118.32000000001</v>
      </c>
      <c r="M2" t="inlineStr">
        <is>
          <t>Net 30 days from date of issue</t>
        </is>
      </c>
      <c r="N2" t="inlineStr">
        <is>
          <t>INV-2026-0876.pdf</t>
        </is>
      </c>
      <c r="O2" t="inlineStr">
        <is>
          <t>1</t>
        </is>
      </c>
    </row>
    <row r="3">
      <c r="A3" t="inlineStr">
        <is>
          <t>INV-2026-0906</t>
        </is>
      </c>
      <c r="B3" t="inlineStr">
        <is>
          <t>Ashcombe Health Partners</t>
        </is>
      </c>
      <c r="C3" t="inlineStr">
        <is>
          <t>SOW-2026-003</t>
        </is>
      </c>
      <c r="D3" t="inlineStr">
        <is>
          <t>PO-57052</t>
        </is>
      </c>
      <c r="E3" t="inlineStr">
        <is>
          <t>2026-05</t>
        </is>
      </c>
      <c r="F3" t="inlineStr">
        <is>
          <t>2026-06-04</t>
        </is>
      </c>
      <c r="G3" t="inlineStr">
        <is>
          <t>2026-07-04</t>
        </is>
      </c>
      <c r="H3" s="6" t="n">
        <v>17337.79</v>
      </c>
      <c r="I3" s="6" t="n">
        <v>-1293.79</v>
      </c>
      <c r="J3" s="6" t="n">
        <v>16044</v>
      </c>
      <c r="K3" s="6" t="n">
        <v>3208.8</v>
      </c>
      <c r="L3" s="6" t="n">
        <v>19252.8</v>
      </c>
      <c r="M3" t="inlineStr">
        <is>
          <t>Net 30 days from date of issue</t>
        </is>
      </c>
      <c r="N3" t="inlineStr">
        <is>
          <t>INV-2026-0906.pdf</t>
        </is>
      </c>
      <c r="O3" t="inlineStr">
        <is>
          <t>1</t>
        </is>
      </c>
    </row>
    <row r="4">
      <c r="A4" t="inlineStr">
        <is>
          <t>INV-2026-0912</t>
        </is>
      </c>
      <c r="B4" t="inlineStr">
        <is>
          <t>Ashcombe Health Partners</t>
        </is>
      </c>
      <c r="C4" t="inlineStr">
        <is>
          <t>SOW-2026-003</t>
        </is>
      </c>
      <c r="D4" t="inlineStr">
        <is>
          <t>PO-63883</t>
        </is>
      </c>
      <c r="E4" t="inlineStr">
        <is>
          <t>2026-06</t>
        </is>
      </c>
      <c r="F4" t="inlineStr">
        <is>
          <t>2026-07-07</t>
        </is>
      </c>
      <c r="G4" t="inlineStr">
        <is>
          <t>2026-08-06</t>
        </is>
      </c>
      <c r="H4" s="6" t="n">
        <v>28951.42</v>
      </c>
      <c r="I4" s="6" t="n">
        <v>-4214.42</v>
      </c>
      <c r="J4" s="6" t="n">
        <v>24737</v>
      </c>
      <c r="K4" s="6" t="n">
        <v>4947.4</v>
      </c>
      <c r="L4" s="6" t="n">
        <v>29684.4</v>
      </c>
      <c r="M4" t="inlineStr">
        <is>
          <t>Net 30 days from date of issue</t>
        </is>
      </c>
      <c r="N4" t="inlineStr">
        <is>
          <t>scan_20260814_114082.pdf</t>
        </is>
      </c>
      <c r="O4" t="inlineStr">
        <is>
          <t>1</t>
        </is>
      </c>
    </row>
    <row r="5">
      <c r="A5" t="inlineStr">
        <is>
          <t>INV-2026-0918</t>
        </is>
      </c>
      <c r="B5" t="inlineStr">
        <is>
          <t>Ashcombe Health Partners</t>
        </is>
      </c>
      <c r="C5" t="inlineStr">
        <is>
          <t>SOW-2026-003</t>
        </is>
      </c>
      <c r="D5" t="inlineStr">
        <is>
          <t>PO-93507</t>
        </is>
      </c>
      <c r="E5" t="inlineStr">
        <is>
          <t>2026-07</t>
        </is>
      </c>
      <c r="F5" t="inlineStr">
        <is>
          <t>2026-08-08</t>
        </is>
      </c>
      <c r="G5" t="inlineStr">
        <is>
          <t>2026-09-07</t>
        </is>
      </c>
      <c r="H5" s="6" t="n">
        <v>14360.33</v>
      </c>
      <c r="I5" s="6" t="n">
        <v>-717.83</v>
      </c>
      <c r="J5" s="6" t="n">
        <v>13642.5</v>
      </c>
      <c r="K5" s="6" t="n">
        <v>2728.5</v>
      </c>
      <c r="L5" s="6" t="n">
        <v>16371</v>
      </c>
      <c r="M5" t="inlineStr">
        <is>
          <t>Net 30 days from date of issue</t>
        </is>
      </c>
      <c r="N5" t="inlineStr">
        <is>
          <t>scan_20260814_114765.pdf</t>
        </is>
      </c>
      <c r="O5" t="inlineStr">
        <is>
          <t>1</t>
        </is>
      </c>
    </row>
    <row r="6">
      <c r="A6" t="inlineStr">
        <is>
          <t>INV-2026-0966</t>
        </is>
      </c>
      <c r="B6" t="inlineStr">
        <is>
          <t>Pentland Media Group</t>
        </is>
      </c>
      <c r="C6" t="inlineStr">
        <is>
          <t>SOW-2026-005</t>
        </is>
      </c>
      <c r="D6" t="inlineStr">
        <is>
          <t>PO-58393</t>
        </is>
      </c>
      <c r="E6" t="inlineStr">
        <is>
          <t>2026-07</t>
        </is>
      </c>
      <c r="F6" t="inlineStr">
        <is>
          <t>2026-07-25</t>
        </is>
      </c>
      <c r="G6" t="inlineStr">
        <is>
          <t>2026-08-24</t>
        </is>
      </c>
      <c r="H6" s="6" t="n">
        <v>33546.78</v>
      </c>
      <c r="I6" s="6" t="n">
        <v>-5830.44</v>
      </c>
      <c r="J6" s="6" t="n">
        <v>27716.34</v>
      </c>
      <c r="K6" s="6" t="n">
        <v>5543.27</v>
      </c>
      <c r="L6" s="6" t="n">
        <v>33259.61</v>
      </c>
      <c r="M6" t="inlineStr">
        <is>
          <t>Net 30 days from date of issue</t>
        </is>
      </c>
      <c r="N6" t="inlineStr">
        <is>
          <t>INV-2026-0966.pdf</t>
        </is>
      </c>
      <c r="O6" t="inlineStr">
        <is>
          <t>1</t>
        </is>
      </c>
    </row>
    <row r="7">
      <c r="A7" t="inlineStr">
        <is>
          <t>INV-2026-1032</t>
        </is>
      </c>
      <c r="B7" t="inlineStr">
        <is>
          <t>Braemar Retail Corporation</t>
        </is>
      </c>
      <c r="C7" t="inlineStr">
        <is>
          <t>SOW-2026-007</t>
        </is>
      </c>
      <c r="D7" t="inlineStr">
        <is>
          <t>PO-19116</t>
        </is>
      </c>
      <c r="E7" t="inlineStr">
        <is>
          <t>2026-05</t>
        </is>
      </c>
      <c r="F7" t="inlineStr">
        <is>
          <t>2026-06-07</t>
        </is>
      </c>
      <c r="G7" t="inlineStr">
        <is>
          <t>2026-07-07</t>
        </is>
      </c>
      <c r="H7" s="6" t="n">
        <v>29279.55</v>
      </c>
      <c r="I7" s="6" t="n">
        <v>-4053.55</v>
      </c>
      <c r="J7" s="6" t="n">
        <v>25226</v>
      </c>
      <c r="K7" s="6" t="n">
        <v>5045.2</v>
      </c>
      <c r="L7" s="6" t="n">
        <v>30271.2</v>
      </c>
      <c r="M7" t="inlineStr">
        <is>
          <t>Net 30 days from date of issue</t>
        </is>
      </c>
      <c r="N7" t="inlineStr">
        <is>
          <t>scan_20260814_115456.pdf</t>
        </is>
      </c>
      <c r="O7" t="inlineStr">
        <is>
          <t>1</t>
        </is>
      </c>
    </row>
    <row r="8">
      <c r="A8" t="inlineStr">
        <is>
          <t>INV-2026-1038</t>
        </is>
      </c>
      <c r="B8" t="inlineStr">
        <is>
          <t>Braemar Retail Corporation</t>
        </is>
      </c>
      <c r="C8" t="inlineStr">
        <is>
          <t>SOW-2026-007</t>
        </is>
      </c>
      <c r="D8" t="inlineStr">
        <is>
          <t>PO-65296</t>
        </is>
      </c>
      <c r="E8" t="inlineStr">
        <is>
          <t>2026-06</t>
        </is>
      </c>
      <c r="F8" t="inlineStr">
        <is>
          <t>2026-07-03</t>
        </is>
      </c>
      <c r="G8" t="inlineStr">
        <is>
          <t>2026-08-02</t>
        </is>
      </c>
      <c r="H8" s="6" t="n">
        <v>32064.86</v>
      </c>
      <c r="I8" s="6" t="n">
        <v>-4422.78</v>
      </c>
      <c r="J8" s="6" t="n">
        <v>27642.08</v>
      </c>
      <c r="K8" s="6" t="n">
        <v>5528.42</v>
      </c>
      <c r="L8" s="6" t="n">
        <v>33170.5</v>
      </c>
      <c r="M8" t="inlineStr">
        <is>
          <t>Net 30 days from date of issue</t>
        </is>
      </c>
      <c r="N8" t="inlineStr">
        <is>
          <t>INV-2026-1038.pdf</t>
        </is>
      </c>
      <c r="O8" t="inlineStr">
        <is>
          <t>1</t>
        </is>
      </c>
    </row>
    <row r="9">
      <c r="A9" t="inlineStr">
        <is>
          <t>INV-2026-1044</t>
        </is>
      </c>
      <c r="B9" t="inlineStr">
        <is>
          <t>Braemar Retail Corporation</t>
        </is>
      </c>
      <c r="C9" t="inlineStr">
        <is>
          <t>SOW-2026-007</t>
        </is>
      </c>
      <c r="D9" t="inlineStr">
        <is>
          <t>PO-63264</t>
        </is>
      </c>
      <c r="E9" t="inlineStr">
        <is>
          <t>2026-07</t>
        </is>
      </c>
      <c r="F9" t="inlineStr">
        <is>
          <t>2026-08-07</t>
        </is>
      </c>
      <c r="G9" t="inlineStr">
        <is>
          <t>2026-09-06</t>
        </is>
      </c>
      <c r="H9" s="6" t="n">
        <v>37653.79</v>
      </c>
      <c r="I9" s="6" t="n">
        <v>-4332.29</v>
      </c>
      <c r="J9" s="6" t="n">
        <v>33321.5</v>
      </c>
      <c r="K9" s="6" t="n">
        <v>6664.3</v>
      </c>
      <c r="L9" s="6" t="n">
        <v>39985.8</v>
      </c>
      <c r="M9" t="inlineStr">
        <is>
          <t>Net 30 days from date of issue</t>
        </is>
      </c>
      <c r="N9" t="inlineStr">
        <is>
          <t>scan_20260814_115806.pdf</t>
        </is>
      </c>
      <c r="O9" t="inlineStr">
        <is>
          <t>1</t>
        </is>
      </c>
    </row>
    <row r="10">
      <c r="A10" t="inlineStr">
        <is>
          <t>INV-2026-1050</t>
        </is>
      </c>
      <c r="B10" t="inlineStr">
        <is>
          <t>Braemar Retail Corporation</t>
        </is>
      </c>
      <c r="C10" t="inlineStr">
        <is>
          <t>SOW-2025-008</t>
        </is>
      </c>
      <c r="D10" t="inlineStr">
        <is>
          <t>PO-31319</t>
        </is>
      </c>
      <c r="E10" t="inlineStr">
        <is>
          <t>2026-05</t>
        </is>
      </c>
      <c r="F10" t="inlineStr">
        <is>
          <t>2026-05-23</t>
        </is>
      </c>
      <c r="G10" t="inlineStr">
        <is>
          <t>2026-06-22</t>
        </is>
      </c>
      <c r="H10" s="6" t="n">
        <v>37279.1</v>
      </c>
      <c r="I10" s="6" t="n">
        <v>-2128.33</v>
      </c>
      <c r="J10" s="6" t="n">
        <v>35150.77</v>
      </c>
      <c r="K10" s="6" t="n">
        <v>7030.15</v>
      </c>
      <c r="L10" s="6" t="n">
        <v>42180.92</v>
      </c>
      <c r="M10" t="inlineStr">
        <is>
          <t>Net 30 days from date of issue</t>
        </is>
      </c>
      <c r="N10" t="inlineStr">
        <is>
          <t>scan_20260814_116655.pdf</t>
        </is>
      </c>
      <c r="O10" t="inlineStr">
        <is>
          <t>1</t>
        </is>
      </c>
    </row>
    <row r="11">
      <c r="A11" t="inlineStr">
        <is>
          <t>INV-2026-1062</t>
        </is>
      </c>
      <c r="B11" t="inlineStr">
        <is>
          <t>Northfield Municipal Group</t>
        </is>
      </c>
      <c r="C11" t="inlineStr">
        <is>
          <t>SOW-2026-009</t>
        </is>
      </c>
      <c r="D11" t="inlineStr">
        <is>
          <t>PO-70589</t>
        </is>
      </c>
      <c r="E11" t="inlineStr">
        <is>
          <t>2026-05</t>
        </is>
      </c>
      <c r="F11" t="inlineStr">
        <is>
          <t>2026-05-29</t>
        </is>
      </c>
      <c r="G11" t="inlineStr">
        <is>
          <t>2026-06-28</t>
        </is>
      </c>
      <c r="H11" s="6" t="n">
        <v>22075.11</v>
      </c>
      <c r="I11" s="6" t="n">
        <v>-4557.89</v>
      </c>
      <c r="J11" s="6" t="n">
        <v>17517.22</v>
      </c>
      <c r="K11" s="6" t="n">
        <v>3503.44</v>
      </c>
      <c r="L11" s="6" t="n">
        <v>21020.66</v>
      </c>
      <c r="M11" t="inlineStr">
        <is>
          <t>Net 30 days from date of issue</t>
        </is>
      </c>
      <c r="N11" t="inlineStr">
        <is>
          <t>INV-2026-1062.pdf</t>
        </is>
      </c>
      <c r="O11" t="inlineStr">
        <is>
          <t>1</t>
        </is>
      </c>
    </row>
    <row r="12">
      <c r="A12" t="inlineStr">
        <is>
          <t>INV-2026-1068</t>
        </is>
      </c>
      <c r="B12" t="inlineStr">
        <is>
          <t>Northfield Municipal Group</t>
        </is>
      </c>
      <c r="C12" t="inlineStr">
        <is>
          <t>SOW-2026-009</t>
        </is>
      </c>
      <c r="D12" t="inlineStr">
        <is>
          <t>PO-71694</t>
        </is>
      </c>
      <c r="E12" t="inlineStr">
        <is>
          <t>2026-07</t>
        </is>
      </c>
      <c r="F12" t="inlineStr">
        <is>
          <t>2026-07-26</t>
        </is>
      </c>
      <c r="G12" t="inlineStr">
        <is>
          <t>2026-08-25</t>
        </is>
      </c>
      <c r="H12" s="6" t="n">
        <v>45530.86</v>
      </c>
      <c r="I12" s="6" t="n">
        <v>-1737.82</v>
      </c>
      <c r="J12" s="6" t="n">
        <v>43793.04</v>
      </c>
      <c r="K12" s="6" t="n">
        <v>8758.610000000001</v>
      </c>
      <c r="L12" s="6" t="n">
        <v>52551.65</v>
      </c>
      <c r="M12" t="inlineStr">
        <is>
          <t>Net 30 days from date of issue</t>
        </is>
      </c>
      <c r="N12" t="inlineStr">
        <is>
          <t>INV-2026-1068.pdf</t>
        </is>
      </c>
      <c r="O12" t="inlineStr">
        <is>
          <t>1</t>
        </is>
      </c>
    </row>
    <row r="13">
      <c r="A13" t="inlineStr">
        <is>
          <t>INV-2026-1146</t>
        </is>
      </c>
      <c r="B13" t="inlineStr">
        <is>
          <t>Stonebridge Energy Group</t>
        </is>
      </c>
      <c r="C13" t="inlineStr">
        <is>
          <t>SOW-2026-012</t>
        </is>
      </c>
      <c r="D13" t="inlineStr">
        <is>
          <t>PO-37653</t>
        </is>
      </c>
      <c r="E13" t="inlineStr">
        <is>
          <t>2026-05</t>
        </is>
      </c>
      <c r="F13" t="inlineStr">
        <is>
          <t>2026-06-05</t>
        </is>
      </c>
      <c r="G13" t="inlineStr">
        <is>
          <t>2026-07-05</t>
        </is>
      </c>
      <c r="H13" s="6" t="n">
        <v>31696.19</v>
      </c>
      <c r="I13" s="6" t="n">
        <v>-1512.44</v>
      </c>
      <c r="J13" s="6" t="n">
        <v>30183.75</v>
      </c>
      <c r="K13" s="6" t="n">
        <v>6036.75</v>
      </c>
      <c r="L13" s="6" t="n">
        <v>36220.5</v>
      </c>
      <c r="M13" t="inlineStr">
        <is>
          <t>Net 30 days from date of issue</t>
        </is>
      </c>
      <c r="N13" t="inlineStr">
        <is>
          <t>INV-2026-1146.pdf</t>
        </is>
      </c>
      <c r="O13" t="inlineStr">
        <is>
          <t>1</t>
        </is>
      </c>
    </row>
    <row r="14">
      <c r="A14" t="inlineStr">
        <is>
          <t>INV-2026-1152</t>
        </is>
      </c>
      <c r="B14" t="inlineStr">
        <is>
          <t>Stonebridge Energy Group</t>
        </is>
      </c>
      <c r="C14" t="inlineStr">
        <is>
          <t>SOW-2026-012</t>
        </is>
      </c>
      <c r="D14" t="inlineStr">
        <is>
          <t>PO-22224</t>
        </is>
      </c>
      <c r="E14" t="inlineStr">
        <is>
          <t>2026-06</t>
        </is>
      </c>
      <c r="F14" t="inlineStr">
        <is>
          <t>2026-07-04</t>
        </is>
      </c>
      <c r="G14" t="inlineStr">
        <is>
          <t>2026-08-03</t>
        </is>
      </c>
      <c r="H14" s="6" t="n">
        <v>36894.48</v>
      </c>
      <c r="I14" s="6" t="n">
        <v>-2097.81</v>
      </c>
      <c r="J14" s="6" t="n">
        <v>34796.67</v>
      </c>
      <c r="K14" s="6" t="n">
        <v>6959.33</v>
      </c>
      <c r="L14" s="6" t="n">
        <v>41756</v>
      </c>
      <c r="M14" t="inlineStr">
        <is>
          <t>Net 30 days from date of issue</t>
        </is>
      </c>
      <c r="N14" t="inlineStr">
        <is>
          <t>INV-2026-1152.pdf</t>
        </is>
      </c>
      <c r="O14" t="inlineStr">
        <is>
          <t>1</t>
        </is>
      </c>
    </row>
    <row r="15">
      <c r="A15" t="inlineStr">
        <is>
          <t>INV-2026-1158</t>
        </is>
      </c>
      <c r="B15" t="inlineStr">
        <is>
          <t>Stonebridge Energy Group</t>
        </is>
      </c>
      <c r="C15" t="inlineStr">
        <is>
          <t>SOW-2026-012</t>
        </is>
      </c>
      <c r="D15" t="inlineStr">
        <is>
          <t>PO-46517</t>
        </is>
      </c>
      <c r="E15" t="inlineStr">
        <is>
          <t>2026-07</t>
        </is>
      </c>
      <c r="F15" t="inlineStr">
        <is>
          <t>2026-08-04</t>
        </is>
      </c>
      <c r="G15" t="inlineStr">
        <is>
          <t>2026-09-03</t>
        </is>
      </c>
      <c r="H15" s="6" t="n">
        <v>50819</v>
      </c>
      <c r="I15" s="6" t="n">
        <v>-5829</v>
      </c>
      <c r="J15" s="6" t="n">
        <v>44990</v>
      </c>
      <c r="K15" s="6" t="n">
        <v>8998</v>
      </c>
      <c r="L15" s="6" t="n">
        <v>53988</v>
      </c>
      <c r="M15" t="inlineStr">
        <is>
          <t>Net 30 days from date of issue</t>
        </is>
      </c>
      <c r="N15" t="inlineStr">
        <is>
          <t>INV-2026-1158.pdf</t>
        </is>
      </c>
      <c r="O15" t="inlineStr">
        <is>
          <t>1</t>
        </is>
      </c>
    </row>
    <row r="16">
      <c r="A16" t="inlineStr">
        <is>
          <t>INV-2026-1212</t>
        </is>
      </c>
      <c r="B16" t="inlineStr">
        <is>
          <t>Ashcombe Health Partners</t>
        </is>
      </c>
      <c r="C16" t="inlineStr">
        <is>
          <t>SOW-2025-013</t>
        </is>
      </c>
      <c r="D16" t="inlineStr">
        <is>
          <t>PO-86484</t>
        </is>
      </c>
      <c r="E16" t="inlineStr">
        <is>
          <t>2026-05</t>
        </is>
      </c>
      <c r="F16" s="7" t="inlineStr">
        <is>
          <t>2026-06-03</t>
        </is>
      </c>
      <c r="G16" s="7" t="inlineStr">
        <is>
          <t>2026-07-03</t>
        </is>
      </c>
      <c r="H16" s="6" t="n">
        <v>49557.42</v>
      </c>
      <c r="I16" s="6" t="n">
        <v>-9594.67</v>
      </c>
      <c r="J16" s="6" t="n">
        <v>39962.75</v>
      </c>
      <c r="K16" s="6" t="n">
        <v>7992.55</v>
      </c>
      <c r="L16" s="6" t="n">
        <v>47955.3</v>
      </c>
      <c r="M16" t="inlineStr">
        <is>
          <t>Net 30 days from date of issue</t>
        </is>
      </c>
      <c r="N16" t="inlineStr">
        <is>
          <t>INV-2026-1212.pdf</t>
        </is>
      </c>
      <c r="O16" t="inlineStr">
        <is>
          <t>1</t>
        </is>
      </c>
    </row>
    <row r="17">
      <c r="A17" t="inlineStr">
        <is>
          <t>INV-2026-1218</t>
        </is>
      </c>
      <c r="B17" t="inlineStr">
        <is>
          <t>Ashcombe Health Partners</t>
        </is>
      </c>
      <c r="C17" t="inlineStr">
        <is>
          <t>SOW-2025-013</t>
        </is>
      </c>
      <c r="D17" t="inlineStr">
        <is>
          <t>PO-61173</t>
        </is>
      </c>
      <c r="E17" t="inlineStr">
        <is>
          <t>2026-06</t>
        </is>
      </c>
      <c r="F17" t="inlineStr">
        <is>
          <t>2026-07-05</t>
        </is>
      </c>
      <c r="G17" t="inlineStr">
        <is>
          <t>2026-08-04</t>
        </is>
      </c>
      <c r="H17" s="6" t="n">
        <v>54665.97</v>
      </c>
      <c r="I17" s="6" t="n">
        <v>-8716.299999999999</v>
      </c>
      <c r="J17" s="6" t="n">
        <v>45949.67</v>
      </c>
      <c r="K17" s="6" t="n">
        <v>9189.93</v>
      </c>
      <c r="L17" s="6" t="n">
        <v>55139.6</v>
      </c>
      <c r="M17" t="inlineStr">
        <is>
          <t>Net 30 days from date of issue</t>
        </is>
      </c>
      <c r="N17" t="inlineStr">
        <is>
          <t>scan_20260814_117077.pdf</t>
        </is>
      </c>
      <c r="O17" t="inlineStr">
        <is>
          <t>1</t>
        </is>
      </c>
    </row>
    <row r="18">
      <c r="A18" t="inlineStr">
        <is>
          <t>INV-2026-1224</t>
        </is>
      </c>
      <c r="B18" t="inlineStr">
        <is>
          <t>Ashcombe Health Partners</t>
        </is>
      </c>
      <c r="C18" t="inlineStr">
        <is>
          <t>SOW-2025-013</t>
        </is>
      </c>
      <c r="D18" t="inlineStr">
        <is>
          <t>PO-44237</t>
        </is>
      </c>
      <c r="E18" t="inlineStr">
        <is>
          <t>2026-07</t>
        </is>
      </c>
      <c r="F18" t="inlineStr">
        <is>
          <t>2026-08-07</t>
        </is>
      </c>
      <c r="G18" t="inlineStr">
        <is>
          <t>2026-09-06</t>
        </is>
      </c>
      <c r="H18" s="6" t="n">
        <v>68232.5</v>
      </c>
      <c r="I18" s="6" t="n">
        <v>-11369.33</v>
      </c>
      <c r="J18" s="6" t="n">
        <v>56863.17</v>
      </c>
      <c r="K18" s="6" t="n">
        <v>11372.63</v>
      </c>
      <c r="L18" s="6" t="n">
        <v>68235.8</v>
      </c>
      <c r="M18" t="inlineStr">
        <is>
          <t>Net 30 days from date of issue</t>
        </is>
      </c>
      <c r="N18" t="inlineStr">
        <is>
          <t>scan_20260814_117817.pdf</t>
        </is>
      </c>
      <c r="O18" t="inlineStr">
        <is>
          <t>1</t>
        </is>
      </c>
    </row>
    <row r="19">
      <c r="A19" t="inlineStr">
        <is>
          <t>INV-2026-1326</t>
        </is>
      </c>
      <c r="B19" t="inlineStr">
        <is>
          <t>Ashcombe Health Partners</t>
        </is>
      </c>
      <c r="C19" t="inlineStr">
        <is>
          <t>SOW-2025-015</t>
        </is>
      </c>
      <c r="D19" t="inlineStr">
        <is>
          <t>PO-60432</t>
        </is>
      </c>
      <c r="E19" t="inlineStr">
        <is>
          <t>2026-05</t>
        </is>
      </c>
      <c r="F19" t="inlineStr">
        <is>
          <t>2026-06-07</t>
        </is>
      </c>
      <c r="G19" t="inlineStr">
        <is>
          <t>2026-07-07</t>
        </is>
      </c>
      <c r="H19" s="6" t="n">
        <v>39353.28</v>
      </c>
      <c r="I19" s="6" t="n">
        <v>-2206.45</v>
      </c>
      <c r="J19" s="6" t="n">
        <v>37146.83</v>
      </c>
      <c r="K19" s="6" t="n">
        <v>7429.37</v>
      </c>
      <c r="L19" s="6" t="n">
        <v>44576.2</v>
      </c>
      <c r="M19" t="inlineStr">
        <is>
          <t>Net 30 days from date of issue</t>
        </is>
      </c>
      <c r="N19" t="inlineStr">
        <is>
          <t>scan_20260814_118619.pdf</t>
        </is>
      </c>
      <c r="O19" t="inlineStr">
        <is>
          <t>1</t>
        </is>
      </c>
    </row>
    <row r="20">
      <c r="A20" t="inlineStr">
        <is>
          <t>INV-2026-1332</t>
        </is>
      </c>
      <c r="B20" t="inlineStr">
        <is>
          <t>Ashcombe Health Partners</t>
        </is>
      </c>
      <c r="C20" t="inlineStr">
        <is>
          <t>SOW-2025-015</t>
        </is>
      </c>
      <c r="D20" t="inlineStr">
        <is>
          <t>PO-17492</t>
        </is>
      </c>
      <c r="E20" t="inlineStr">
        <is>
          <t>2026-06</t>
        </is>
      </c>
      <c r="F20" t="inlineStr">
        <is>
          <t>2026-07-06</t>
        </is>
      </c>
      <c r="G20" t="inlineStr">
        <is>
          <t>2026-08-05</t>
        </is>
      </c>
      <c r="H20" s="6" t="n">
        <v>65920.48</v>
      </c>
      <c r="I20" s="6" t="n">
        <v>-4911.48</v>
      </c>
      <c r="J20" s="6" t="n">
        <v>61009</v>
      </c>
      <c r="K20" s="6" t="n">
        <v>12201.8</v>
      </c>
      <c r="L20" s="6" t="n">
        <v>73210.8</v>
      </c>
      <c r="M20" t="inlineStr">
        <is>
          <t>Net 30 days from date of issue</t>
        </is>
      </c>
      <c r="N20" t="inlineStr">
        <is>
          <t>scan_20260814_119005.pdf</t>
        </is>
      </c>
      <c r="O20" t="inlineStr">
        <is>
          <t>1</t>
        </is>
      </c>
    </row>
    <row r="21">
      <c r="A21" t="inlineStr">
        <is>
          <t>INV-2026-1338</t>
        </is>
      </c>
      <c r="B21" t="inlineStr">
        <is>
          <t>Ashcombe Health Partners</t>
        </is>
      </c>
      <c r="C21" t="inlineStr">
        <is>
          <t>SOW-2025-015</t>
        </is>
      </c>
      <c r="D21" t="inlineStr">
        <is>
          <t>PO-77033</t>
        </is>
      </c>
      <c r="E21" t="inlineStr">
        <is>
          <t>2026-07</t>
        </is>
      </c>
      <c r="F21" t="inlineStr">
        <is>
          <t>2026-08-07</t>
        </is>
      </c>
      <c r="G21" t="inlineStr">
        <is>
          <t>2026-09-06</t>
        </is>
      </c>
      <c r="H21" s="6" t="n">
        <v>72146.82000000001</v>
      </c>
      <c r="I21" s="6" t="n">
        <v>-4723.24</v>
      </c>
      <c r="J21" s="6" t="n">
        <v>67423.58</v>
      </c>
      <c r="K21" s="6" t="n">
        <v>13484.72</v>
      </c>
      <c r="L21" s="6" t="n">
        <v>80908.3</v>
      </c>
      <c r="M21" t="inlineStr">
        <is>
          <t>Net 30 days from date of issue</t>
        </is>
      </c>
      <c r="N21" t="inlineStr">
        <is>
          <t>INV-2026-1338.pdf</t>
        </is>
      </c>
      <c r="O21" t="inlineStr">
        <is>
          <t>1</t>
        </is>
      </c>
    </row>
    <row r="22">
      <c r="A22" t="inlineStr">
        <is>
          <t>INV-2026-1392</t>
        </is>
      </c>
      <c r="B22" t="inlineStr">
        <is>
          <t>Braemar Retail Corporation</t>
        </is>
      </c>
      <c r="C22" t="inlineStr">
        <is>
          <t>SOW-2025-016</t>
        </is>
      </c>
      <c r="D22" t="inlineStr">
        <is>
          <t>PO-24621</t>
        </is>
      </c>
      <c r="E22" t="inlineStr">
        <is>
          <t>2026-05</t>
        </is>
      </c>
      <c r="F22" t="inlineStr">
        <is>
          <t>2026-06-06</t>
        </is>
      </c>
      <c r="G22" t="inlineStr">
        <is>
          <t>2026-07-06</t>
        </is>
      </c>
      <c r="H22" s="6" t="n">
        <v>20558.49</v>
      </c>
      <c r="I22" s="6" t="n">
        <v>-3580.66</v>
      </c>
      <c r="J22" s="6" t="n">
        <v>16977.83</v>
      </c>
      <c r="K22" s="6" t="n">
        <v>3395.57</v>
      </c>
      <c r="L22" s="6" t="n">
        <v>20373.4</v>
      </c>
      <c r="M22" t="inlineStr">
        <is>
          <t>Net 30 days from date of issue</t>
        </is>
      </c>
      <c r="N22" t="inlineStr">
        <is>
          <t>INV-2026-1392.pdf</t>
        </is>
      </c>
      <c r="O22" t="inlineStr">
        <is>
          <t>1</t>
        </is>
      </c>
    </row>
    <row r="23">
      <c r="A23" t="inlineStr">
        <is>
          <t>INV-2026-1398</t>
        </is>
      </c>
      <c r="B23" t="inlineStr">
        <is>
          <t>Braemar Retail Corporation</t>
        </is>
      </c>
      <c r="C23" t="inlineStr">
        <is>
          <t>SOW-2025-016</t>
        </is>
      </c>
      <c r="D23" t="inlineStr">
        <is>
          <t>PO-98501</t>
        </is>
      </c>
      <c r="E23" t="inlineStr">
        <is>
          <t>2026-06</t>
        </is>
      </c>
      <c r="F23" t="inlineStr">
        <is>
          <t>2026-07-09</t>
        </is>
      </c>
      <c r="G23" t="inlineStr">
        <is>
          <t>2026-08-08</t>
        </is>
      </c>
      <c r="H23" s="6" t="n">
        <v>29907.72</v>
      </c>
      <c r="I23" s="6" t="n">
        <v>-1470.64</v>
      </c>
      <c r="J23" s="6" t="n">
        <v>28437.08</v>
      </c>
      <c r="K23" s="6" t="n">
        <v>5687.42</v>
      </c>
      <c r="L23" s="6" t="n">
        <v>34124.5</v>
      </c>
      <c r="M23" t="inlineStr">
        <is>
          <t>Net 30 days from date of issue</t>
        </is>
      </c>
      <c r="N23" t="inlineStr">
        <is>
          <t>INV-2026-1398.pdf</t>
        </is>
      </c>
      <c r="O23" t="inlineStr">
        <is>
          <t>1</t>
        </is>
      </c>
    </row>
    <row r="24">
      <c r="A24" t="inlineStr">
        <is>
          <t>INV-2026-1404</t>
        </is>
      </c>
      <c r="B24" t="inlineStr">
        <is>
          <t>Braemar Retail Corporation</t>
        </is>
      </c>
      <c r="C24" t="inlineStr">
        <is>
          <t>SOW-2025-016</t>
        </is>
      </c>
      <c r="D24" t="inlineStr">
        <is>
          <t>PO-66531</t>
        </is>
      </c>
      <c r="E24" t="inlineStr">
        <is>
          <t>2026-07</t>
        </is>
      </c>
      <c r="F24" t="inlineStr">
        <is>
          <t>2026-08-06</t>
        </is>
      </c>
      <c r="G24" t="inlineStr">
        <is>
          <t>2026-09-05</t>
        </is>
      </c>
      <c r="H24" s="6" t="n">
        <v>32597.8</v>
      </c>
      <c r="I24" s="6" t="n">
        <v>-1567.05</v>
      </c>
      <c r="J24" s="6" t="n">
        <v>31030.75</v>
      </c>
      <c r="K24" s="6" t="n">
        <v>6206.15</v>
      </c>
      <c r="L24" s="6" t="n">
        <v>37236.9</v>
      </c>
      <c r="M24" t="inlineStr">
        <is>
          <t>Net 30 days from date of issue</t>
        </is>
      </c>
      <c r="N24" t="inlineStr">
        <is>
          <t>INV-2026-1404.pdf</t>
        </is>
      </c>
      <c r="O24" t="inlineStr">
        <is>
          <t>1</t>
        </is>
      </c>
    </row>
    <row r="25">
      <c r="A25" t="inlineStr">
        <is>
          <t>INV-2026-1458</t>
        </is>
      </c>
      <c r="B25" t="inlineStr">
        <is>
          <t>Thornbury Retail Partners</t>
        </is>
      </c>
      <c r="C25" t="inlineStr">
        <is>
          <t>SOW-2025-018</t>
        </is>
      </c>
      <c r="D25" t="inlineStr">
        <is>
          <t>PO-16057</t>
        </is>
      </c>
      <c r="E25" t="inlineStr">
        <is>
          <t>2026-08</t>
        </is>
      </c>
      <c r="F25" t="inlineStr">
        <is>
          <t>2026-08-07</t>
        </is>
      </c>
      <c r="G25" t="inlineStr">
        <is>
          <t>2026-09-06</t>
        </is>
      </c>
      <c r="H25" s="6" t="n">
        <v>57571.95</v>
      </c>
      <c r="I25" s="6" t="n">
        <v>-5689.37</v>
      </c>
      <c r="J25" s="6" t="n">
        <v>51882.58</v>
      </c>
      <c r="K25" s="6" t="n">
        <v>10376.51</v>
      </c>
      <c r="L25" s="6" t="n">
        <v>62259.09</v>
      </c>
      <c r="M25" t="inlineStr">
        <is>
          <t>Net 30 days from date of issue</t>
        </is>
      </c>
      <c r="N25" t="inlineStr">
        <is>
          <t>INV-2026-1458.pdf</t>
        </is>
      </c>
      <c r="O25" t="inlineStr">
        <is>
          <t>1</t>
        </is>
      </c>
    </row>
    <row r="26">
      <c r="A26" t="inlineStr">
        <is>
          <t>INV-2026-1494</t>
        </is>
      </c>
      <c r="B26" t="inlineStr">
        <is>
          <t>Thornbury Retail Partners</t>
        </is>
      </c>
      <c r="C26" t="inlineStr">
        <is>
          <t>SOW-2025-019</t>
        </is>
      </c>
      <c r="D26" t="inlineStr">
        <is>
          <t>PO-36071</t>
        </is>
      </c>
      <c r="E26" t="inlineStr">
        <is>
          <t>2026-05</t>
        </is>
      </c>
      <c r="F26" t="inlineStr">
        <is>
          <t>2026-06-04</t>
        </is>
      </c>
      <c r="G26" t="inlineStr">
        <is>
          <t>2026-07-04</t>
        </is>
      </c>
      <c r="H26" s="6" t="n">
        <v>14795.01</v>
      </c>
      <c r="I26" s="6" t="n">
        <v>-3137.34</v>
      </c>
      <c r="J26" s="6" t="n">
        <v>11657.67</v>
      </c>
      <c r="K26" s="6" t="n">
        <v>2331.53</v>
      </c>
      <c r="L26" s="6" t="n">
        <v>13989.2</v>
      </c>
      <c r="M26" t="inlineStr">
        <is>
          <t>Net 30 days from date of issue</t>
        </is>
      </c>
      <c r="N26" t="inlineStr">
        <is>
          <t>INV-2026-1494.pdf</t>
        </is>
      </c>
      <c r="O26" t="inlineStr">
        <is>
          <t>1</t>
        </is>
      </c>
    </row>
    <row r="27">
      <c r="A27" t="inlineStr">
        <is>
          <t>INV-2026-1500</t>
        </is>
      </c>
      <c r="B27" t="inlineStr">
        <is>
          <t>Thornbury Retail Partners</t>
        </is>
      </c>
      <c r="C27" t="inlineStr">
        <is>
          <t>SOW-2025-019</t>
        </is>
      </c>
      <c r="D27" t="inlineStr">
        <is>
          <t>PO-96163</t>
        </is>
      </c>
      <c r="E27" t="inlineStr">
        <is>
          <t>2026-06</t>
        </is>
      </c>
      <c r="F27" t="inlineStr">
        <is>
          <t>2026-07-05</t>
        </is>
      </c>
      <c r="G27" t="inlineStr">
        <is>
          <t>2026-08-04</t>
        </is>
      </c>
      <c r="H27" s="6" t="n"/>
      <c r="I27" s="6" t="n"/>
      <c r="J27" s="6" t="n"/>
      <c r="K27" s="6" t="n"/>
      <c r="L27" s="8" t="n"/>
      <c r="N27" t="inlineStr">
        <is>
          <t>scan_20260814_119189.pdf</t>
        </is>
      </c>
      <c r="O27" t="inlineStr">
        <is>
          <t>1</t>
        </is>
      </c>
    </row>
    <row r="28">
      <c r="A28" t="inlineStr">
        <is>
          <t>INV-2026-1506</t>
        </is>
      </c>
      <c r="B28" t="inlineStr">
        <is>
          <t>Thornbury Retail Partners</t>
        </is>
      </c>
      <c r="C28" t="inlineStr">
        <is>
          <t>SOW-2025-019</t>
        </is>
      </c>
      <c r="D28" t="inlineStr">
        <is>
          <t>PO-48752</t>
        </is>
      </c>
      <c r="E28" t="inlineStr">
        <is>
          <t>2026-07</t>
        </is>
      </c>
      <c r="F28" t="inlineStr">
        <is>
          <t>2026-08-08</t>
        </is>
      </c>
      <c r="G28" t="inlineStr">
        <is>
          <t>2026-09-07</t>
        </is>
      </c>
      <c r="H28" s="6" t="n">
        <v>17865.34</v>
      </c>
      <c r="I28" s="6" t="n">
        <v>-1168.51</v>
      </c>
      <c r="J28" s="6" t="n">
        <v>16696.83</v>
      </c>
      <c r="K28" s="6" t="n">
        <v>3339.37</v>
      </c>
      <c r="L28" s="6" t="n">
        <v>20036.2</v>
      </c>
      <c r="M28" t="inlineStr">
        <is>
          <t>Net 30 days from date of issue</t>
        </is>
      </c>
      <c r="N28" t="inlineStr">
        <is>
          <t>scan_20260814_119479.pdf</t>
        </is>
      </c>
      <c r="O28" t="inlineStr">
        <is>
          <t>1</t>
        </is>
      </c>
    </row>
    <row r="29">
      <c r="A29" t="inlineStr">
        <is>
          <t>INV-2026-1512</t>
        </is>
      </c>
      <c r="B29" t="inlineStr">
        <is>
          <t>Quarrymoor Transit Partners</t>
        </is>
      </c>
      <c r="C29" t="inlineStr">
        <is>
          <t>SOW-2025-020</t>
        </is>
      </c>
      <c r="D29" t="inlineStr">
        <is>
          <t>PO-41385</t>
        </is>
      </c>
      <c r="E29" t="inlineStr">
        <is>
          <t>2026-05</t>
        </is>
      </c>
      <c r="F29" t="inlineStr">
        <is>
          <t>2026-05-22</t>
        </is>
      </c>
      <c r="G29" t="inlineStr">
        <is>
          <t>2026-06-21</t>
        </is>
      </c>
      <c r="H29" s="6" t="n">
        <v>364020.5</v>
      </c>
      <c r="I29" s="6" t="n">
        <v>-68060.71000000001</v>
      </c>
      <c r="J29" s="6" t="n">
        <v>295959.79</v>
      </c>
      <c r="K29" s="6" t="n">
        <v>59191.96</v>
      </c>
      <c r="L29" s="6" t="n">
        <v>355151.75</v>
      </c>
      <c r="M29" t="inlineStr">
        <is>
          <t>Net 30 days from date of issue</t>
        </is>
      </c>
      <c r="N29" t="inlineStr">
        <is>
          <t>scan_20260814_119811.pdf</t>
        </is>
      </c>
      <c r="O29" t="inlineStr">
        <is>
          <t>1</t>
        </is>
      </c>
    </row>
    <row r="30">
      <c r="A30" t="inlineStr">
        <is>
          <t>INV-2026-1596</t>
        </is>
      </c>
      <c r="B30" t="inlineStr">
        <is>
          <t>Fernhollow Financial Trust</t>
        </is>
      </c>
      <c r="C30" t="inlineStr">
        <is>
          <t>SOW-2026-022</t>
        </is>
      </c>
      <c r="D30" t="inlineStr">
        <is>
          <t>PO-82063</t>
        </is>
      </c>
      <c r="E30" t="inlineStr">
        <is>
          <t>2026-05</t>
        </is>
      </c>
      <c r="F30" t="inlineStr">
        <is>
          <t>2026-06-05</t>
        </is>
      </c>
      <c r="G30" t="inlineStr">
        <is>
          <t>2026-07-05</t>
        </is>
      </c>
      <c r="H30" s="6" t="n">
        <v>34439.75</v>
      </c>
      <c r="I30" s="6" t="n">
        <v>-1961.08</v>
      </c>
      <c r="J30" s="6" t="n">
        <v>32478.67</v>
      </c>
      <c r="K30" s="6" t="n">
        <v>6495.73</v>
      </c>
      <c r="L30" s="6" t="n">
        <v>38974.4</v>
      </c>
      <c r="M30" s="7" t="inlineStr">
        <is>
          <t>Net 30 days from date of issue</t>
        </is>
      </c>
      <c r="N30" t="inlineStr">
        <is>
          <t>scan_20260814_120638.pdf</t>
        </is>
      </c>
      <c r="O30" t="inlineStr">
        <is>
          <t>1</t>
        </is>
      </c>
    </row>
    <row r="31">
      <c r="A31" t="inlineStr">
        <is>
          <t>INV-2026-1602</t>
        </is>
      </c>
      <c r="B31" t="inlineStr">
        <is>
          <t>Fernhollow Financial Trust</t>
        </is>
      </c>
      <c r="C31" t="inlineStr">
        <is>
          <t>SOW-2026-022</t>
        </is>
      </c>
      <c r="D31" t="inlineStr">
        <is>
          <t>PO-11220</t>
        </is>
      </c>
      <c r="E31" t="inlineStr">
        <is>
          <t>2026-06</t>
        </is>
      </c>
      <c r="F31" t="inlineStr">
        <is>
          <t>2026-07-05</t>
        </is>
      </c>
      <c r="G31" t="inlineStr">
        <is>
          <t>2026-08-04</t>
        </is>
      </c>
      <c r="H31" s="6" t="n">
        <v>38860.26</v>
      </c>
      <c r="I31" s="6" t="n">
        <v>-3850.43</v>
      </c>
      <c r="J31" s="6" t="n">
        <v>35009.83</v>
      </c>
      <c r="K31" s="6" t="n">
        <v>7001.97</v>
      </c>
      <c r="L31" s="6" t="n">
        <v>42011.8</v>
      </c>
      <c r="M31" t="inlineStr">
        <is>
          <t>Net 30 days from date of issue</t>
        </is>
      </c>
      <c r="N31" t="inlineStr">
        <is>
          <t>INV-2026-1602.pdf</t>
        </is>
      </c>
      <c r="O31" t="inlineStr">
        <is>
          <t>1</t>
        </is>
      </c>
    </row>
    <row r="32">
      <c r="A32" t="inlineStr">
        <is>
          <t>INV-2026-1608</t>
        </is>
      </c>
      <c r="B32" t="inlineStr">
        <is>
          <t>Fernhollow Financial Trust</t>
        </is>
      </c>
      <c r="C32" t="inlineStr">
        <is>
          <t>SOW-2026-022</t>
        </is>
      </c>
      <c r="D32" t="inlineStr">
        <is>
          <t>PO-47606</t>
        </is>
      </c>
      <c r="E32" t="inlineStr">
        <is>
          <t>2026-07</t>
        </is>
      </c>
      <c r="F32" t="inlineStr">
        <is>
          <t>2026-08-06</t>
        </is>
      </c>
      <c r="G32" t="inlineStr">
        <is>
          <t>2026-09-05</t>
        </is>
      </c>
      <c r="H32" s="6" t="n">
        <v>46668.24</v>
      </c>
      <c r="I32" s="6" t="n">
        <v>-9351.99</v>
      </c>
      <c r="J32" s="6" t="n">
        <v>37316.25</v>
      </c>
      <c r="K32" s="6" t="n">
        <v>7463.25</v>
      </c>
      <c r="L32" s="6" t="n">
        <v>44779.5</v>
      </c>
      <c r="M32" t="inlineStr">
        <is>
          <t>Net 30 days from date of issue</t>
        </is>
      </c>
      <c r="N32" t="inlineStr">
        <is>
          <t>INV-2026-1608.pdf</t>
        </is>
      </c>
      <c r="O32" t="inlineStr">
        <is>
          <t>1</t>
        </is>
      </c>
    </row>
    <row r="33">
      <c r="A33" t="inlineStr">
        <is>
          <t>INV-2026-1614</t>
        </is>
      </c>
      <c r="B33" t="inlineStr">
        <is>
          <t>Fernhollow Financial Trust</t>
        </is>
      </c>
      <c r="C33" t="inlineStr">
        <is>
          <t>SOW-2025-023</t>
        </is>
      </c>
      <c r="D33" t="inlineStr">
        <is>
          <t>PO-77839</t>
        </is>
      </c>
      <c r="E33" t="inlineStr">
        <is>
          <t>2026-05</t>
        </is>
      </c>
      <c r="F33" t="inlineStr">
        <is>
          <t>2026-05-10</t>
        </is>
      </c>
      <c r="G33" t="inlineStr">
        <is>
          <t>2026-06-09</t>
        </is>
      </c>
      <c r="H33" s="6" t="n">
        <v>196942.78</v>
      </c>
      <c r="I33" s="6" t="n">
        <v>-34181.64</v>
      </c>
      <c r="J33" s="6" t="n">
        <v>162761.14</v>
      </c>
      <c r="K33" s="6" t="n">
        <v>32552.23</v>
      </c>
      <c r="L33" s="6" t="n">
        <v>195313.37</v>
      </c>
      <c r="M33" t="inlineStr">
        <is>
          <t>Net 30 days from date of issue</t>
        </is>
      </c>
      <c r="N33" t="inlineStr">
        <is>
          <t>INV-2026-1614.pdf</t>
        </is>
      </c>
      <c r="O33" t="inlineStr">
        <is>
          <t>1</t>
        </is>
      </c>
    </row>
    <row r="34">
      <c r="A34" t="inlineStr">
        <is>
          <t>INV-2026-1704</t>
        </is>
      </c>
      <c r="B34" t="inlineStr">
        <is>
          <t>Stonebridge Energy Group</t>
        </is>
      </c>
      <c r="C34" t="inlineStr">
        <is>
          <t>SOW-2025-025</t>
        </is>
      </c>
      <c r="D34" t="inlineStr">
        <is>
          <t>PO-92719</t>
        </is>
      </c>
      <c r="E34" t="inlineStr">
        <is>
          <t>2026-05</t>
        </is>
      </c>
      <c r="F34" t="inlineStr">
        <is>
          <t>2026-06-06</t>
        </is>
      </c>
      <c r="G34" t="inlineStr">
        <is>
          <t>2026-07-06</t>
        </is>
      </c>
      <c r="H34" s="6" t="n">
        <v>50409.48</v>
      </c>
      <c r="I34" s="6" t="n">
        <v>-6214.06</v>
      </c>
      <c r="J34" s="6" t="n">
        <v>44195.42</v>
      </c>
      <c r="K34" s="6" t="n">
        <v>8839.08</v>
      </c>
      <c r="L34" s="6" t="n">
        <v>53034.5</v>
      </c>
      <c r="M34" t="inlineStr">
        <is>
          <t>Net 30 days from date of issue</t>
        </is>
      </c>
      <c r="N34" t="inlineStr">
        <is>
          <t>INV-2026-1704.pdf</t>
        </is>
      </c>
      <c r="O34" t="inlineStr">
        <is>
          <t>1</t>
        </is>
      </c>
    </row>
    <row r="35">
      <c r="A35" t="inlineStr">
        <is>
          <t>INV-2026-1710</t>
        </is>
      </c>
      <c r="B35" t="inlineStr">
        <is>
          <t>Stonebridge Energy Group</t>
        </is>
      </c>
      <c r="C35" t="inlineStr">
        <is>
          <t>SOW-2025-025</t>
        </is>
      </c>
      <c r="D35" t="inlineStr">
        <is>
          <t>PO-67433</t>
        </is>
      </c>
      <c r="E35" t="inlineStr">
        <is>
          <t>2026-06</t>
        </is>
      </c>
      <c r="F35" t="inlineStr">
        <is>
          <t>2026-07-06</t>
        </is>
      </c>
      <c r="G35" t="inlineStr">
        <is>
          <t>2026-08-05</t>
        </is>
      </c>
      <c r="H35" s="6" t="n">
        <v>44554.05</v>
      </c>
      <c r="I35" s="6" t="n">
        <v>-7397.72</v>
      </c>
      <c r="J35" s="6" t="n">
        <v>37156.33</v>
      </c>
      <c r="K35" s="6" t="n">
        <v>7431.27</v>
      </c>
      <c r="L35" s="6" t="n">
        <v>44587.6</v>
      </c>
      <c r="M35" t="inlineStr">
        <is>
          <t>Net 30 days from date of issue</t>
        </is>
      </c>
      <c r="N35" t="inlineStr">
        <is>
          <t>scan_20260814_121161.pdf</t>
        </is>
      </c>
      <c r="O35" t="inlineStr">
        <is>
          <t>1</t>
        </is>
      </c>
    </row>
    <row r="36">
      <c r="A36" t="inlineStr">
        <is>
          <t>INV-2026-1716</t>
        </is>
      </c>
      <c r="B36" t="inlineStr">
        <is>
          <t>Stonebridge Energy Group</t>
        </is>
      </c>
      <c r="C36" t="inlineStr">
        <is>
          <t>SOW-2025-025</t>
        </is>
      </c>
      <c r="D36" t="inlineStr">
        <is>
          <t>PO-96356</t>
        </is>
      </c>
      <c r="E36" t="inlineStr">
        <is>
          <t>2026-07</t>
        </is>
      </c>
      <c r="F36" t="inlineStr">
        <is>
          <t>2026-08-06</t>
        </is>
      </c>
      <c r="G36" t="inlineStr">
        <is>
          <t>2026-09-05</t>
        </is>
      </c>
      <c r="H36" s="6" t="n">
        <v>38108.89</v>
      </c>
      <c r="I36" s="6" t="n">
        <v>-5800.56</v>
      </c>
      <c r="J36" s="6" t="n">
        <v>32308.33</v>
      </c>
      <c r="K36" s="6" t="n">
        <v>6461.67</v>
      </c>
      <c r="L36" s="6" t="n">
        <v>38770</v>
      </c>
      <c r="M36" t="inlineStr">
        <is>
          <t>Net 30 days from date of issue</t>
        </is>
      </c>
      <c r="N36" t="inlineStr">
        <is>
          <t>scan_20260814_121516.pdf</t>
        </is>
      </c>
      <c r="O36" t="inlineStr">
        <is>
          <t>1</t>
        </is>
      </c>
    </row>
    <row r="37">
      <c r="A37" t="inlineStr">
        <is>
          <t>INV-2026-1836</t>
        </is>
      </c>
      <c r="B37" t="inlineStr">
        <is>
          <t>Merrivale Maritime Corporation</t>
        </is>
      </c>
      <c r="C37" t="inlineStr">
        <is>
          <t>SOW-2026-029</t>
        </is>
      </c>
      <c r="D37" t="inlineStr">
        <is>
          <t>PO-36685</t>
        </is>
      </c>
      <c r="E37" t="inlineStr">
        <is>
          <t>2026-06</t>
        </is>
      </c>
      <c r="F37" t="inlineStr">
        <is>
          <t>2026-06-14</t>
        </is>
      </c>
      <c r="G37" t="inlineStr">
        <is>
          <t>2026-07-14</t>
        </is>
      </c>
      <c r="H37" s="6" t="n">
        <v>57932.19</v>
      </c>
      <c r="I37" s="6" t="n">
        <v>-4276.1</v>
      </c>
      <c r="J37" s="6" t="n">
        <v>53656.09</v>
      </c>
      <c r="K37" s="6" t="n">
        <v>10731.22</v>
      </c>
      <c r="L37" s="6" t="n">
        <v>64387.31</v>
      </c>
      <c r="M37" t="inlineStr">
        <is>
          <t>Net 30 days from date of issue</t>
        </is>
      </c>
      <c r="N37" t="inlineStr">
        <is>
          <t>scan_20260814_121921.pdf</t>
        </is>
      </c>
      <c r="O37" t="inlineStr">
        <is>
          <t>1</t>
        </is>
      </c>
    </row>
    <row r="39">
      <c r="K39" s="2" t="inlineStr">
        <is>
          <t>TOTAL INVOICED</t>
        </is>
      </c>
      <c r="L39" s="3">
        <f>SUM(L2:L37)</f>
        <v/>
      </c>
    </row>
  </sheetData>
  <conditionalFormatting sqref="H2:L37">
    <cfRule type="cellIs" priority="1" operator="lessThan" dxfId="0">
      <formula>0</formula>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19"/>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6" customWidth="1" min="3" max="3"/>
    <col width="12" customWidth="1" min="4" max="4"/>
    <col width="11" customWidth="1" min="5" max="5"/>
    <col width="13" customWidth="1" min="6" max="6"/>
    <col width="13" customWidth="1" min="7" max="7"/>
    <col width="14" customWidth="1" min="8" max="8"/>
    <col width="15" customWidth="1" min="9" max="9"/>
    <col width="14" customWidth="1" min="10" max="10"/>
    <col width="12" customWidth="1" min="11" max="11"/>
    <col width="14" customWidth="1" min="12" max="12"/>
    <col width="30" customWidth="1" min="13" max="13"/>
    <col width="34" customWidth="1" min="14" max="14"/>
  </cols>
  <sheetData>
    <row r="1">
      <c r="A1" s="5" t="inlineStr">
        <is>
          <t>SOW</t>
        </is>
      </c>
      <c r="B1" s="5" t="inlineStr">
        <is>
          <t>Client</t>
        </is>
      </c>
      <c r="C1" s="5" t="inlineStr">
        <is>
          <t>Engagement</t>
        </is>
      </c>
      <c r="D1" s="5" t="inlineStr">
        <is>
          <t>Fee basis</t>
        </is>
      </c>
      <c r="E1" s="5" t="inlineStr">
        <is>
          <t>Start</t>
        </is>
      </c>
      <c r="F1" s="5" t="inlineStr">
        <is>
          <t>End</t>
        </is>
      </c>
      <c r="G1" s="5" t="inlineStr">
        <is>
          <t>Ceiling hours</t>
        </is>
      </c>
      <c r="H1" s="5" t="inlineStr">
        <is>
          <t>Ceiling amount</t>
        </is>
      </c>
      <c r="I1" s="5" t="inlineStr">
        <is>
          <t>Amended by</t>
        </is>
      </c>
      <c r="J1" s="5" t="inlineStr">
        <is>
          <t>Revised ceiling</t>
        </is>
      </c>
      <c r="K1" s="5" t="inlineStr">
        <is>
          <t>Revised end</t>
        </is>
      </c>
      <c r="L1" s="5" t="inlineStr">
        <is>
          <t>Current ceiling</t>
        </is>
      </c>
      <c r="M1" s="5" t="inlineStr">
        <is>
          <t>Source file</t>
        </is>
      </c>
      <c r="N1" s="5" t="inlineStr">
        <is>
          <t>Pages</t>
        </is>
      </c>
    </row>
    <row r="2">
      <c r="A2" t="inlineStr">
        <is>
          <t>SOW-2025-008</t>
        </is>
      </c>
      <c r="B2" t="inlineStr">
        <is>
          <t>Braemar Retail Corporation</t>
        </is>
      </c>
      <c r="C2" t="inlineStr">
        <is>
          <t>Regulatory Reporting Programme</t>
        </is>
      </c>
      <c r="D2" t="inlineStr">
        <is>
          <t>Fixed fee</t>
        </is>
      </c>
      <c r="E2" t="inlineStr">
        <is>
          <t>2025-11-16</t>
        </is>
      </c>
      <c r="F2" t="inlineStr">
        <is>
          <t>2027-05-12</t>
        </is>
      </c>
      <c r="G2" s="6" t="n">
        <v>1020</v>
      </c>
      <c r="H2" s="6" t="n">
        <v>274176</v>
      </c>
      <c r="L2" s="6">
        <f>H2</f>
        <v/>
      </c>
      <c r="M2" t="inlineStr">
        <is>
          <t>Braemar Retail Corporation - SOW - SOW-2025-008 FINAL v3 (signed).docx</t>
        </is>
      </c>
      <c r="N2" t="inlineStr">
        <is>
          <t>1</t>
        </is>
      </c>
    </row>
    <row r="3">
      <c r="A3" t="inlineStr">
        <is>
          <t>SOW-2025-011</t>
        </is>
      </c>
      <c r="B3" t="inlineStr">
        <is>
          <t>Lowmarsh Retail Partners</t>
        </is>
      </c>
      <c r="C3" t="inlineStr">
        <is>
          <t>Inventory Modernisation</t>
        </is>
      </c>
      <c r="D3" t="inlineStr">
        <is>
          <t>Fixed fee</t>
        </is>
      </c>
      <c r="E3" t="inlineStr">
        <is>
          <t>2025-10-11</t>
        </is>
      </c>
      <c r="F3" t="inlineStr">
        <is>
          <t>2027-05-02</t>
        </is>
      </c>
      <c r="G3" s="6" t="n">
        <v>4940</v>
      </c>
      <c r="H3" s="6" t="n">
        <v>1332713.2</v>
      </c>
      <c r="I3" t="inlineStr">
        <is>
          <t>SOW-2025-011-A3</t>
        </is>
      </c>
      <c r="J3" s="9" t="n">
        <v>1665891.5</v>
      </c>
      <c r="K3" t="inlineStr">
        <is>
          <t>2027-06-30</t>
        </is>
      </c>
      <c r="L3" s="3">
        <f>IF(J3="",H3,J3)</f>
        <v/>
      </c>
      <c r="M3" t="inlineStr">
        <is>
          <t>Lowmarsh Retail Partners - SOW - SOW-2025-011 FINAL v3 (signed).docx</t>
        </is>
      </c>
      <c r="N3" t="inlineStr">
        <is>
          <t>1</t>
        </is>
      </c>
    </row>
    <row r="4">
      <c r="A4" t="inlineStr">
        <is>
          <t>SOW-2025-013</t>
        </is>
      </c>
      <c r="B4" t="inlineStr">
        <is>
          <t>Ashcombe Health Partners</t>
        </is>
      </c>
      <c r="C4" t="inlineStr">
        <is>
          <t>Payments Assessment</t>
        </is>
      </c>
      <c r="D4" t="inlineStr">
        <is>
          <t>Time and materials</t>
        </is>
      </c>
      <c r="E4" t="inlineStr">
        <is>
          <t>2025-09-28</t>
        </is>
      </c>
      <c r="F4" t="inlineStr">
        <is>
          <t>2026-12-08</t>
        </is>
      </c>
      <c r="G4" s="6" t="n">
        <v>3200</v>
      </c>
      <c r="H4" s="6" t="n">
        <v>812800</v>
      </c>
      <c r="L4" s="6">
        <f>H4</f>
        <v/>
      </c>
      <c r="M4" t="inlineStr">
        <is>
          <t>Ashcombe Health Partners - SOW - SOW-2025-013 FINAL v3 (signed).docx</t>
        </is>
      </c>
      <c r="N4" t="inlineStr">
        <is>
          <t>1</t>
        </is>
      </c>
    </row>
    <row r="5">
      <c r="A5" t="inlineStr">
        <is>
          <t>SOW-2025-015</t>
        </is>
      </c>
      <c r="B5" t="inlineStr">
        <is>
          <t>Ashcombe Health Partners</t>
        </is>
      </c>
      <c r="C5" t="inlineStr">
        <is>
          <t>Workforce Planning Programme</t>
        </is>
      </c>
      <c r="D5" t="inlineStr">
        <is>
          <t>Time and materials</t>
        </is>
      </c>
      <c r="E5" t="inlineStr">
        <is>
          <t>2025-11-04</t>
        </is>
      </c>
      <c r="F5" t="inlineStr">
        <is>
          <t>2026-10-16</t>
        </is>
      </c>
      <c r="G5" s="6" t="n">
        <v>3540</v>
      </c>
      <c r="H5" s="6" t="n">
        <v>1069080</v>
      </c>
      <c r="I5" t="inlineStr">
        <is>
          <t>SOW-2025-015-A4</t>
        </is>
      </c>
      <c r="J5" s="9" t="n">
        <v>1208060.4</v>
      </c>
      <c r="K5" t="inlineStr">
        <is>
          <t>2027-01-25</t>
        </is>
      </c>
      <c r="L5" s="3">
        <f>IF(J5="",H5,J5)</f>
        <v/>
      </c>
      <c r="M5" t="inlineStr">
        <is>
          <t>Ashcombe Health Partners - SOW - SOW-2025-015 FINAL v3 (signed).docx</t>
        </is>
      </c>
      <c r="N5" t="inlineStr">
        <is>
          <t>1</t>
        </is>
      </c>
    </row>
    <row r="6">
      <c r="A6" t="inlineStr">
        <is>
          <t>SOW-2025-016</t>
        </is>
      </c>
      <c r="B6" t="inlineStr">
        <is>
          <t>Braemar Retail Corporation</t>
        </is>
      </c>
      <c r="C6" t="inlineStr">
        <is>
          <t>Field Operations Rollout</t>
        </is>
      </c>
      <c r="D6" t="inlineStr">
        <is>
          <t>Time and materials</t>
        </is>
      </c>
      <c r="E6" t="inlineStr">
        <is>
          <t>2025-09-01</t>
        </is>
      </c>
      <c r="F6" t="inlineStr">
        <is>
          <t>2027-03-09</t>
        </is>
      </c>
      <c r="G6" s="6" t="n">
        <v>7980</v>
      </c>
      <c r="H6" s="6" t="n">
        <v>1955100</v>
      </c>
      <c r="L6" s="6">
        <f>H6</f>
        <v/>
      </c>
      <c r="M6" t="inlineStr">
        <is>
          <t>Braemar Retail Corporation - SOW - SOW-2025-016 FINAL v3 (signed).docx</t>
        </is>
      </c>
      <c r="N6" t="inlineStr">
        <is>
          <t>1</t>
        </is>
      </c>
    </row>
    <row r="7">
      <c r="A7" t="inlineStr">
        <is>
          <t>SOW-2025-018</t>
        </is>
      </c>
      <c r="B7" t="inlineStr">
        <is>
          <t>Thornbury Retail Partners</t>
        </is>
      </c>
      <c r="C7" t="inlineStr">
        <is>
          <t>Payments Modernisation</t>
        </is>
      </c>
      <c r="D7" t="inlineStr">
        <is>
          <t>Fixed fee</t>
        </is>
      </c>
      <c r="E7" t="inlineStr">
        <is>
          <t>2025-12-04</t>
        </is>
      </c>
      <c r="F7" t="inlineStr">
        <is>
          <t>2026-12-04</t>
        </is>
      </c>
      <c r="G7" s="6" t="n">
        <v>820</v>
      </c>
      <c r="H7" s="6" t="n">
        <v>217906.8</v>
      </c>
      <c r="L7" s="6">
        <f>H7</f>
        <v/>
      </c>
      <c r="M7" t="inlineStr">
        <is>
          <t>Thornbury Retail Partners - SOW - SOW-2025-018 FINAL v3 (signed).docx</t>
        </is>
      </c>
      <c r="N7" t="inlineStr">
        <is>
          <t>1</t>
        </is>
      </c>
    </row>
    <row r="8">
      <c r="A8" t="inlineStr">
        <is>
          <t>SOW-2025-019</t>
        </is>
      </c>
      <c r="B8" t="inlineStr">
        <is>
          <t>Thornbury Retail Partners</t>
        </is>
      </c>
      <c r="C8" t="inlineStr">
        <is>
          <t>Grid Analytics Assessment</t>
        </is>
      </c>
      <c r="D8" t="inlineStr">
        <is>
          <t>Time and materials</t>
        </is>
      </c>
      <c r="E8" t="inlineStr">
        <is>
          <t>2025-12-03</t>
        </is>
      </c>
      <c r="F8" t="inlineStr">
        <is>
          <t>2026-10-10</t>
        </is>
      </c>
      <c r="G8" s="6" t="n">
        <v>940</v>
      </c>
      <c r="H8" s="6" t="n">
        <v>262260</v>
      </c>
      <c r="I8" t="inlineStr">
        <is>
          <t>SOW-2025-019-A5</t>
        </is>
      </c>
      <c r="J8" s="9" t="n">
        <v>361918.8</v>
      </c>
      <c r="K8" t="inlineStr">
        <is>
          <t>2026-12-07</t>
        </is>
      </c>
      <c r="L8" s="3">
        <f>IF(J8="",H8,J8)</f>
        <v/>
      </c>
      <c r="M8" t="inlineStr">
        <is>
          <t>Thornbury Retail Partners - SOW - SOW-2025-019 FINAL v3 (signed).docx</t>
        </is>
      </c>
      <c r="N8" t="inlineStr">
        <is>
          <t>1</t>
        </is>
      </c>
    </row>
    <row r="9">
      <c r="A9" t="inlineStr">
        <is>
          <t>SOW-2025-020</t>
        </is>
      </c>
      <c r="B9" t="inlineStr">
        <is>
          <t>Quarrymoor Transit Partners</t>
        </is>
      </c>
      <c r="C9" t="inlineStr">
        <is>
          <t>Inventory Implementation</t>
        </is>
      </c>
      <c r="D9" t="inlineStr">
        <is>
          <t>Fixed fee</t>
        </is>
      </c>
      <c r="E9" t="inlineStr">
        <is>
          <t>2025-11-30</t>
        </is>
      </c>
      <c r="F9" t="inlineStr">
        <is>
          <t>2027-04-16</t>
        </is>
      </c>
      <c r="G9" s="6" t="n">
        <v>4840</v>
      </c>
      <c r="H9" s="6" t="n">
        <v>1154243.2</v>
      </c>
      <c r="L9" s="6">
        <f>H9</f>
        <v/>
      </c>
      <c r="M9" t="inlineStr">
        <is>
          <t>Quarrymoor Transit Partners - SOW - SOW-2025-020 FINAL v3 (signed).docx</t>
        </is>
      </c>
      <c r="N9" t="inlineStr">
        <is>
          <t>1</t>
        </is>
      </c>
    </row>
    <row r="10">
      <c r="A10" t="inlineStr">
        <is>
          <t>SOW-2025-023</t>
        </is>
      </c>
      <c r="B10" t="inlineStr">
        <is>
          <t>Fernhollow Financial Trust</t>
        </is>
      </c>
      <c r="C10" t="inlineStr">
        <is>
          <t>Asset Register Assessment</t>
        </is>
      </c>
      <c r="D10" t="inlineStr">
        <is>
          <t>Fixed fee</t>
        </is>
      </c>
      <c r="E10" t="inlineStr">
        <is>
          <t>2025-12-30</t>
        </is>
      </c>
      <c r="F10" t="inlineStr">
        <is>
          <t>2027-01-11</t>
        </is>
      </c>
      <c r="G10" s="6" t="n">
        <v>1840</v>
      </c>
      <c r="H10" s="6" t="n">
        <v>455731.2</v>
      </c>
      <c r="I10" t="inlineStr">
        <is>
          <t>SOW-2025-023-A6</t>
        </is>
      </c>
      <c r="J10" s="9" t="n">
        <v>587893.25</v>
      </c>
      <c r="K10" t="inlineStr">
        <is>
          <t>2027-02-10</t>
        </is>
      </c>
      <c r="L10" s="3">
        <f>IF(J10="",H10,J10)</f>
        <v/>
      </c>
      <c r="M10" t="inlineStr">
        <is>
          <t>Fernhollow Financial Trust - SOW - SOW-2025-023 FINAL v3 (signed).docx</t>
        </is>
      </c>
      <c r="N10" t="inlineStr">
        <is>
          <t>1</t>
        </is>
      </c>
    </row>
    <row r="11">
      <c r="A11" t="inlineStr">
        <is>
          <t>SOW-2025-025</t>
        </is>
      </c>
      <c r="B11" t="inlineStr">
        <is>
          <t>Stonebridge Energy Group</t>
        </is>
      </c>
      <c r="C11" t="inlineStr">
        <is>
          <t>Billing Platform Implementation</t>
        </is>
      </c>
      <c r="D11" t="inlineStr">
        <is>
          <t>Time and materials</t>
        </is>
      </c>
      <c r="E11" t="inlineStr">
        <is>
          <t>2025-11-11</t>
        </is>
      </c>
      <c r="F11" t="inlineStr">
        <is>
          <t>2026-10-25</t>
        </is>
      </c>
      <c r="G11" s="6" t="n">
        <v>2440</v>
      </c>
      <c r="H11" s="6" t="n">
        <v>688080</v>
      </c>
      <c r="L11" s="6">
        <f>H11</f>
        <v/>
      </c>
      <c r="M11" t="inlineStr">
        <is>
          <t>Stonebridge Energy Group - SOW - SOW-2025-025 FINAL v3 (signed).docx</t>
        </is>
      </c>
      <c r="N11" t="inlineStr">
        <is>
          <t>1</t>
        </is>
      </c>
    </row>
    <row r="12">
      <c r="A12" t="inlineStr">
        <is>
          <t>SOW-2026-002</t>
        </is>
      </c>
      <c r="B12" t="inlineStr">
        <is>
          <t>Oakhaven Logistics Collective</t>
        </is>
      </c>
      <c r="C12" t="inlineStr">
        <is>
          <t>Credit Risk Migration</t>
        </is>
      </c>
      <c r="D12" t="inlineStr">
        <is>
          <t>Fixed fee</t>
        </is>
      </c>
      <c r="E12" t="inlineStr">
        <is>
          <t>2026-01-28</t>
        </is>
      </c>
      <c r="F12" t="inlineStr">
        <is>
          <t>2026-08-21</t>
        </is>
      </c>
      <c r="G12" s="6" t="n">
        <v>1980</v>
      </c>
      <c r="H12" s="6" t="n">
        <v>420591.6</v>
      </c>
      <c r="I12" t="inlineStr">
        <is>
          <t>SOW-2026-002-A1</t>
        </is>
      </c>
      <c r="J12" s="9" t="n">
        <v>492092.17</v>
      </c>
      <c r="K12" t="inlineStr">
        <is>
          <t>2026-12-04</t>
        </is>
      </c>
      <c r="L12" s="3">
        <f>IF(J12="",H12,J12)</f>
        <v/>
      </c>
      <c r="M12" t="inlineStr">
        <is>
          <t>Oakhaven Logistics Collective - SOW - SOW-2026-002 FINAL v3 (signed).docx</t>
        </is>
      </c>
      <c r="N12" t="inlineStr">
        <is>
          <t>1</t>
        </is>
      </c>
    </row>
    <row r="13">
      <c r="A13" t="inlineStr">
        <is>
          <t>SOW-2026-003</t>
        </is>
      </c>
      <c r="B13" t="inlineStr">
        <is>
          <t>Ashcombe Health Partners</t>
        </is>
      </c>
      <c r="C13" t="inlineStr">
        <is>
          <t>Revenue Assurance Optimisation</t>
        </is>
      </c>
      <c r="D13" t="inlineStr">
        <is>
          <t>Time and materials</t>
        </is>
      </c>
      <c r="E13" t="inlineStr">
        <is>
          <t>2026-01-09</t>
        </is>
      </c>
      <c r="F13" t="inlineStr">
        <is>
          <t>2026-10-31</t>
        </is>
      </c>
      <c r="G13" s="6" t="n">
        <v>940</v>
      </c>
      <c r="H13" s="6" t="n">
        <v>232180</v>
      </c>
      <c r="L13" s="6">
        <f>H13</f>
        <v/>
      </c>
      <c r="M13" t="inlineStr">
        <is>
          <t>Ashcombe Health Partners - SOW - SOW-2026-003 FINAL v3 (signed).docx</t>
        </is>
      </c>
      <c r="N13" t="inlineStr">
        <is>
          <t>1</t>
        </is>
      </c>
    </row>
    <row r="14">
      <c r="A14" t="inlineStr">
        <is>
          <t>SOW-2026-005</t>
        </is>
      </c>
      <c r="B14" t="inlineStr">
        <is>
          <t>Pentland Media Group</t>
        </is>
      </c>
      <c r="C14" t="inlineStr">
        <is>
          <t>Procurement Modernisation</t>
        </is>
      </c>
      <c r="D14" t="inlineStr">
        <is>
          <t>Fixed fee</t>
        </is>
      </c>
      <c r="E14" t="inlineStr">
        <is>
          <t>2026-01-31</t>
        </is>
      </c>
      <c r="F14" t="inlineStr">
        <is>
          <t>2026-10-10</t>
        </is>
      </c>
      <c r="G14" s="6" t="n">
        <v>2690</v>
      </c>
      <c r="H14" s="6" t="n">
        <v>133038.43</v>
      </c>
      <c r="L14" s="6">
        <f>H14</f>
        <v/>
      </c>
      <c r="M14" t="inlineStr">
        <is>
          <t>Pentland Media Group - SOW - SOW-2026-005 FINAL v3 (signed).docx</t>
        </is>
      </c>
      <c r="N14" t="inlineStr">
        <is>
          <t>1</t>
        </is>
      </c>
    </row>
    <row r="15">
      <c r="A15" t="inlineStr">
        <is>
          <t>SOW-2026-007</t>
        </is>
      </c>
      <c r="B15" t="inlineStr">
        <is>
          <t>Braemar Retail Corporation</t>
        </is>
      </c>
      <c r="C15" t="inlineStr">
        <is>
          <t>Revenue Assurance Discovery</t>
        </is>
      </c>
      <c r="D15" t="inlineStr">
        <is>
          <t>Time and materials</t>
        </is>
      </c>
      <c r="E15" t="inlineStr">
        <is>
          <t>2026-02-19</t>
        </is>
      </c>
      <c r="F15" t="inlineStr">
        <is>
          <t>2027-02-27</t>
        </is>
      </c>
      <c r="G15" s="6" t="n">
        <v>1480</v>
      </c>
      <c r="H15" s="6" t="n">
        <v>393680</v>
      </c>
      <c r="I15" t="inlineStr">
        <is>
          <t>SOW-2026-007-A2</t>
        </is>
      </c>
      <c r="J15" s="9" t="n">
        <v>448795.2</v>
      </c>
      <c r="K15" t="inlineStr">
        <is>
          <t>2027-04-01</t>
        </is>
      </c>
      <c r="L15" s="3">
        <f>IF(J15="",H15,J15)</f>
        <v/>
      </c>
      <c r="M15" t="inlineStr">
        <is>
          <t>Braemar Retail Corporation - SOW - SOW-2026-007 FINAL v3 (signed).docx</t>
        </is>
      </c>
      <c r="N15" t="inlineStr">
        <is>
          <t>1</t>
        </is>
      </c>
    </row>
    <row r="16">
      <c r="A16" t="inlineStr">
        <is>
          <t>SOW-2026-009</t>
        </is>
      </c>
      <c r="B16" t="inlineStr">
        <is>
          <t>Northfield Municipal Group</t>
        </is>
      </c>
      <c r="C16" t="inlineStr">
        <is>
          <t>Pricing Modernisation</t>
        </is>
      </c>
      <c r="D16" t="inlineStr">
        <is>
          <t>Fixed fee</t>
        </is>
      </c>
      <c r="E16" t="inlineStr">
        <is>
          <t>2026-01-23</t>
        </is>
      </c>
      <c r="F16" t="inlineStr">
        <is>
          <t>2026-11-10</t>
        </is>
      </c>
      <c r="G16" s="6" t="n">
        <v>780</v>
      </c>
      <c r="H16" s="6" t="n">
        <v>241737.6</v>
      </c>
      <c r="L16" s="6">
        <f>H16</f>
        <v/>
      </c>
      <c r="M16" t="inlineStr">
        <is>
          <t>Northfield Municipal Group - SOW - SOW-2026-009 FINAL v3 (signed).docx</t>
        </is>
      </c>
      <c r="N16" t="inlineStr">
        <is>
          <t>1</t>
        </is>
      </c>
    </row>
    <row r="17">
      <c r="A17" t="inlineStr">
        <is>
          <t>SOW-2026-012</t>
        </is>
      </c>
      <c r="B17" t="inlineStr">
        <is>
          <t>Stonebridge Energy Group</t>
        </is>
      </c>
      <c r="C17" t="inlineStr">
        <is>
          <t>Credit Risk Programme</t>
        </is>
      </c>
      <c r="D17" t="inlineStr">
        <is>
          <t>Time and materials</t>
        </is>
      </c>
      <c r="E17" t="inlineStr">
        <is>
          <t>2026-01-14</t>
        </is>
      </c>
      <c r="F17" t="inlineStr">
        <is>
          <t>2026-09-24</t>
        </is>
      </c>
      <c r="G17" s="6" t="n">
        <v>1480</v>
      </c>
      <c r="H17" s="6" t="n">
        <v>478040</v>
      </c>
      <c r="L17" s="6">
        <f>H17</f>
        <v/>
      </c>
      <c r="M17" t="inlineStr">
        <is>
          <t>Stonebridge Energy Group - SOW - SOW-2026-012 FINAL v3 (signed).docx</t>
        </is>
      </c>
      <c r="N17" t="inlineStr">
        <is>
          <t>1</t>
        </is>
      </c>
    </row>
    <row r="18">
      <c r="A18" t="inlineStr">
        <is>
          <t>SOW-2026-022</t>
        </is>
      </c>
      <c r="B18" t="inlineStr">
        <is>
          <t>Fernhollow Financial Trust</t>
        </is>
      </c>
      <c r="C18" t="inlineStr">
        <is>
          <t>Billing Platform Assessment</t>
        </is>
      </c>
      <c r="D18" t="inlineStr">
        <is>
          <t>Time and materials</t>
        </is>
      </c>
      <c r="E18" t="inlineStr">
        <is>
          <t>2026-02-19</t>
        </is>
      </c>
      <c r="F18" t="inlineStr">
        <is>
          <t>2027-01-25</t>
        </is>
      </c>
      <c r="G18" s="6" t="n">
        <v>1520</v>
      </c>
      <c r="H18" s="6" t="n">
        <v>443840</v>
      </c>
      <c r="L18" s="6">
        <f>H18</f>
        <v/>
      </c>
      <c r="M18" t="inlineStr">
        <is>
          <t>Fernhollow Financial Trust - SOW - SOW-2026-022 FINAL v3 (signed).docx</t>
        </is>
      </c>
      <c r="N18" t="inlineStr">
        <is>
          <t>1</t>
        </is>
      </c>
    </row>
    <row r="19">
      <c r="A19" t="inlineStr">
        <is>
          <t>SOW-2026-029</t>
        </is>
      </c>
      <c r="B19" t="inlineStr">
        <is>
          <t>Merrivale Maritime Corporation</t>
        </is>
      </c>
      <c r="C19" t="inlineStr">
        <is>
          <t>Grid Analytics Integration</t>
        </is>
      </c>
      <c r="D19" t="inlineStr">
        <is>
          <t>Fixed fee</t>
        </is>
      </c>
      <c r="E19" t="inlineStr">
        <is>
          <t>2026-01-26</t>
        </is>
      </c>
      <c r="F19" t="inlineStr">
        <is>
          <t>2026-12-26</t>
        </is>
      </c>
      <c r="G19" s="6" t="n">
        <v>1960</v>
      </c>
      <c r="H19" s="6" t="n">
        <v>482904.8</v>
      </c>
      <c r="L19" s="6">
        <f>H19</f>
        <v/>
      </c>
      <c r="M19" t="inlineStr">
        <is>
          <t>Merrivale Maritime Corporation - SOW - SOW-2026-029 FINAL v3 (signed).docx</t>
        </is>
      </c>
      <c r="N19"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6" customWidth="1" min="3" max="3"/>
    <col width="74" customWidth="1" min="4" max="4"/>
    <col width="32" customWidth="1" min="5" max="5"/>
  </cols>
  <sheetData>
    <row r="1">
      <c r="A1" s="5" t="inlineStr">
        <is>
          <t>Document</t>
        </is>
      </c>
      <c r="B1" s="5" t="inlineStr">
        <is>
          <t>Type</t>
        </is>
      </c>
      <c r="C1" s="5" t="inlineStr">
        <is>
          <t>Issue</t>
        </is>
      </c>
      <c r="D1" s="5" t="inlineStr">
        <is>
          <t>Detail</t>
        </is>
      </c>
      <c r="E1" s="5" t="inlineStr">
        <is>
          <t>Source file</t>
        </is>
      </c>
    </row>
    <row r="2">
      <c r="A2" t="inlineStr">
        <is>
          <t>FW_ Your Meridian Print account.eml</t>
        </is>
      </c>
      <c r="B2" t="inlineStr">
        <is>
          <t>out_of_scope</t>
        </is>
      </c>
      <c r="C2" s="7" t="inlineStr">
        <is>
          <t>out of scope</t>
        </is>
      </c>
      <c r="D2" s="10" t="inlineStr">
        <is>
          <t>not the firm's paperwork; no fields extracted</t>
        </is>
      </c>
      <c r="E2" t="inlineStr">
        <is>
          <t>FW_ Your Meridian Print account.eml</t>
        </is>
      </c>
    </row>
    <row r="3">
      <c r="A3" t="inlineStr">
        <is>
          <t>INV-2026-1500</t>
        </is>
      </c>
      <c r="B3" t="inlineStr">
        <is>
          <t>invoice</t>
        </is>
      </c>
      <c r="C3" s="11" t="inlineStr">
        <is>
          <t>total_due unreadable</t>
        </is>
      </c>
      <c r="D3" s="10" t="inlineStr">
        <is>
          <t>the scan ends immediately after the third line item; the whole totals block, including the TOTAL DUE line, is below the scan margin and is not on the page. REM-2026-8461 in this same folder settles INV-2026-1500 at 34,906.40, but that figure belongs to the remittance and has deliberately not been carried across to this invoice</t>
        </is>
      </c>
      <c r="E3" t="inlineStr">
        <is>
          <t>scan_20260814_119189.pdf</t>
        </is>
      </c>
    </row>
    <row r="4">
      <c r="A4" t="inlineStr">
        <is>
          <t>INV-2026-1596</t>
        </is>
      </c>
      <c r="B4" t="inlineStr">
        <is>
          <t>invoice</t>
        </is>
      </c>
      <c r="C4" s="7" t="inlineStr">
        <is>
          <t>payment_terms contradicted</t>
        </is>
      </c>
      <c r="D4" s="10" t="inlineStr">
        <is>
          <t>a handwritten note below the payment block reads 'net 14 days not 30 -- agreed w/ MJ 12/8', contradicting the printed terms. The printed value is recorded; the annotation is unsigned and undated as to year and has not been applied</t>
        </is>
      </c>
      <c r="E4" t="inlineStr">
        <is>
          <t>scan_20260814_120638.pdf</t>
        </is>
      </c>
    </row>
    <row r="5">
      <c r="A5" t="inlineStr">
        <is>
          <t>INV-2026-1614</t>
        </is>
      </c>
      <c r="B5" t="inlineStr">
        <is>
          <t>invoice</t>
        </is>
      </c>
      <c r="C5" s="7" t="inlineStr">
        <is>
          <t>duplicate</t>
        </is>
      </c>
      <c r="D5" s="10" t="inlineStr">
        <is>
          <t>a second copy of INV-2026-1614; excluded from totals</t>
        </is>
      </c>
      <c r="E5" t="inlineStr">
        <is>
          <t>INV-2026-1614 (1).pdf</t>
        </is>
      </c>
    </row>
    <row r="6">
      <c r="A6" t="inlineStr">
        <is>
          <t>SOW-2025-011-A3</t>
        </is>
      </c>
      <c r="B6" t="inlineStr">
        <is>
          <t>sow_amendment</t>
        </is>
      </c>
      <c r="C6" s="7" t="inlineStr">
        <is>
          <t>supersedes</t>
        </is>
      </c>
      <c r="D6" s="10" t="inlineStr">
        <is>
          <t>replaces SOW-2025-011, whose figures are stale</t>
        </is>
      </c>
      <c r="E6" t="inlineStr">
        <is>
          <t>Lowmarsh Retail Partners - SOW-2025-011 amendment A3.docx</t>
        </is>
      </c>
    </row>
    <row r="7">
      <c r="A7" t="inlineStr">
        <is>
          <t>SOW-2025-015-A4</t>
        </is>
      </c>
      <c r="B7" t="inlineStr">
        <is>
          <t>sow_amendment</t>
        </is>
      </c>
      <c r="C7" s="7" t="inlineStr">
        <is>
          <t>supersedes</t>
        </is>
      </c>
      <c r="D7" s="10" t="inlineStr">
        <is>
          <t>replaces SOW-2025-015, whose figures are stale</t>
        </is>
      </c>
      <c r="E7" t="inlineStr">
        <is>
          <t>Ashcombe Health Partners - SOW-2025-015 amendment A4.docx</t>
        </is>
      </c>
    </row>
    <row r="8">
      <c r="A8" t="inlineStr">
        <is>
          <t>SOW-2025-019-A5</t>
        </is>
      </c>
      <c r="B8" t="inlineStr">
        <is>
          <t>sow_amendment</t>
        </is>
      </c>
      <c r="C8" s="7" t="inlineStr">
        <is>
          <t>supersedes</t>
        </is>
      </c>
      <c r="D8" s="10" t="inlineStr">
        <is>
          <t>replaces SOW-2025-019, whose figures are stale</t>
        </is>
      </c>
      <c r="E8" t="inlineStr">
        <is>
          <t>Thornbury Retail Partners - SOW-2025-019 amendment A5.docx</t>
        </is>
      </c>
    </row>
    <row r="9">
      <c r="A9" t="inlineStr">
        <is>
          <t>SOW-2025-023-A6</t>
        </is>
      </c>
      <c r="B9" t="inlineStr">
        <is>
          <t>sow_amendment</t>
        </is>
      </c>
      <c r="C9" s="7" t="inlineStr">
        <is>
          <t>supersedes</t>
        </is>
      </c>
      <c r="D9" s="10" t="inlineStr">
        <is>
          <t>replaces SOW-2025-023, whose figures are stale</t>
        </is>
      </c>
      <c r="E9" t="inlineStr">
        <is>
          <t>Fernhollow Financial Trust - SOW-2025-023 amendment A6.docx</t>
        </is>
      </c>
    </row>
    <row r="10">
      <c r="A10" t="inlineStr">
        <is>
          <t>SOW-2026-002-A1</t>
        </is>
      </c>
      <c r="B10" t="inlineStr">
        <is>
          <t>sow_amendment</t>
        </is>
      </c>
      <c r="C10" s="7" t="inlineStr">
        <is>
          <t>supersedes</t>
        </is>
      </c>
      <c r="D10" s="10" t="inlineStr">
        <is>
          <t>replaces SOW-2026-002, whose figures are stale</t>
        </is>
      </c>
      <c r="E10" t="inlineStr">
        <is>
          <t>Oakhaven Logistics Collective - SOW-2026-002 amendment A1.docx</t>
        </is>
      </c>
    </row>
    <row r="11">
      <c r="A11" t="inlineStr">
        <is>
          <t>SOW-2026-007-A2</t>
        </is>
      </c>
      <c r="B11" t="inlineStr">
        <is>
          <t>sow_amendment</t>
        </is>
      </c>
      <c r="C11" s="7" t="inlineStr">
        <is>
          <t>supersedes</t>
        </is>
      </c>
      <c r="D11" s="10" t="inlineStr">
        <is>
          <t>replaces SOW-2026-007, whose figures are stale</t>
        </is>
      </c>
      <c r="E11" t="inlineStr">
        <is>
          <t>Braemar Retail Corporation - SOW-2026-007 amendment A2.docx</t>
        </is>
      </c>
    </row>
    <row r="12">
      <c r="A12" t="inlineStr">
        <is>
          <t>STM-2026-101</t>
        </is>
      </c>
      <c r="B12" t="inlineStr">
        <is>
          <t>statement</t>
        </is>
      </c>
      <c r="C12" s="11" t="inlineStr">
        <is>
          <t>invoice_count unreadable</t>
        </is>
      </c>
      <c r="D12" s="10" t="inlineStr">
        <is>
          <t>the INVOICES OUTSTANDING label is present but cell E18 holds the uncalculated formula =COUNT(E13:E15) with no stored result, so the workbook states no count</t>
        </is>
      </c>
      <c r="E12" t="inlineStr">
        <is>
          <t>Statement of account - Ashcombe Health Partners - Aug 2026.xlsx</t>
        </is>
      </c>
    </row>
    <row r="13">
      <c r="A13" t="inlineStr">
        <is>
          <t>STM-2026-101</t>
        </is>
      </c>
      <c r="B13" t="inlineStr">
        <is>
          <t>statement</t>
        </is>
      </c>
      <c r="C13" s="11" t="inlineStr">
        <is>
          <t>total_outstanding unreadable</t>
        </is>
      </c>
      <c r="D13" s="10" t="inlineStr">
        <is>
          <t>the TOTAL OUTSTANDING label is present but cell E17 holds the uncalculated formula =SUM(E13:E15) with no stored result, so the workbook states no balance. It could be recomputed from the amounts in rows 13 to 15, but that figure would be mine and not the statement's, so it is not recorded here</t>
        </is>
      </c>
      <c r="E13" t="inlineStr">
        <is>
          <t>Statement of account - Ashcombe Health Partners - Aug 2026.xlsx</t>
        </is>
      </c>
    </row>
    <row r="14">
      <c r="A14" t="inlineStr">
        <is>
          <t>STM-2026-102</t>
        </is>
      </c>
      <c r="B14" t="inlineStr">
        <is>
          <t>statement</t>
        </is>
      </c>
      <c r="C14" s="11" t="inlineStr">
        <is>
          <t>invoice_count unreadable</t>
        </is>
      </c>
      <c r="D14" s="10" t="inlineStr">
        <is>
          <t>the INVOICES OUTSTANDING label is present but cell E17 holds the uncalculated formula =COUNT(E13:E14) with no stored result, so the workbook states no count</t>
        </is>
      </c>
      <c r="E14" t="inlineStr">
        <is>
          <t>Statement of account - Fernhollow Financial Trust - Aug 2026.xlsx</t>
        </is>
      </c>
    </row>
    <row r="15">
      <c r="A15" t="inlineStr">
        <is>
          <t>STM-2026-102</t>
        </is>
      </c>
      <c r="B15" t="inlineStr">
        <is>
          <t>statement</t>
        </is>
      </c>
      <c r="C15" s="11" t="inlineStr">
        <is>
          <t>total_outstanding unreadable</t>
        </is>
      </c>
      <c r="D15" s="10" t="inlineStr">
        <is>
          <t>the TOTAL OUTSTANDING label is present but cell E16 holds the uncalculated formula =SUM(E13:E14) with no stored result, so the workbook states no balance. It could be recomputed from the amounts in rows 13 to 14, but that figure would be mine and not the statement's, so it is not recorded here</t>
        </is>
      </c>
      <c r="E15" t="inlineStr">
        <is>
          <t>Statement of account - Fernhollow Financial Trust - Aug 2026.xlsx</t>
        </is>
      </c>
    </row>
    <row r="16">
      <c r="A16" t="inlineStr">
        <is>
          <t>receipt_20260804_lunch.pdf</t>
        </is>
      </c>
      <c r="B16" t="inlineStr">
        <is>
          <t>out_of_scope</t>
        </is>
      </c>
      <c r="C16" s="7" t="inlineStr">
        <is>
          <t>out of scope</t>
        </is>
      </c>
      <c r="D16" s="10" t="inlineStr">
        <is>
          <t>not the firm's paperwork; no fields extracted</t>
        </is>
      </c>
      <c r="E16" t="inlineStr">
        <is>
          <t>receipt_20260804_lunch.pdf</t>
        </is>
      </c>
    </row>
    <row r="17">
      <c r="A17" t="inlineStr">
        <is>
          <t>scan_20260814_113255.pdf</t>
        </is>
      </c>
      <c r="B17" t="inlineStr">
        <is>
          <t>out_of_scope</t>
        </is>
      </c>
      <c r="C17" s="7" t="inlineStr">
        <is>
          <t>out of scope</t>
        </is>
      </c>
      <c r="D17" s="10" t="inlineStr">
        <is>
          <t>not the firm's paperwork; no fields extracted</t>
        </is>
      </c>
      <c r="E17" t="inlineStr">
        <is>
          <t>scan_20260814_113255.pdf</t>
        </is>
      </c>
    </row>
    <row r="18">
      <c r="A18" t="inlineStr">
        <is>
          <t>scan_20260814_124109.pdf</t>
        </is>
      </c>
      <c r="B18" t="inlineStr">
        <is>
          <t>out_of_scope</t>
        </is>
      </c>
      <c r="C18" s="7" t="inlineStr">
        <is>
          <t>out of scope</t>
        </is>
      </c>
      <c r="D18" s="10" t="inlineStr">
        <is>
          <t>not the firm's paperwork; no fields extracted</t>
        </is>
      </c>
      <c r="E18" t="inlineStr">
        <is>
          <t>scan_20260814_124109.pdf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20" customWidth="1" min="3" max="3"/>
    <col width="13" customWidth="1" min="4" max="4"/>
    <col width="18" customWidth="1" min="5" max="5"/>
    <col width="34" customWidth="1" min="6" max="6"/>
    <col width="52" customWidth="1" min="7" max="7"/>
    <col width="30" customWidth="1" min="8" max="8"/>
    <col width="16" customWidth="1" min="9" max="9"/>
  </cols>
  <sheetData>
    <row r="1">
      <c r="A1" s="5" t="inlineStr">
        <is>
          <t>Document</t>
        </is>
      </c>
      <c r="B1" s="5" t="inlineStr">
        <is>
          <t>Type</t>
        </is>
      </c>
      <c r="C1" s="5" t="inlineStr">
        <is>
          <t>Field</t>
        </is>
      </c>
      <c r="D1" s="5" t="inlineStr">
        <is>
          <t>Confidence</t>
        </is>
      </c>
      <c r="E1" s="5" t="inlineStr">
        <is>
          <t>Value</t>
        </is>
      </c>
      <c r="F1" s="5" t="inlineStr">
        <is>
          <t>Evidence</t>
        </is>
      </c>
      <c r="G1" s="5" t="inlineStr">
        <is>
          <t>Reason</t>
        </is>
      </c>
      <c r="H1" s="5" t="inlineStr">
        <is>
          <t>Source file</t>
        </is>
      </c>
      <c r="I1" s="5" t="inlineStr">
        <is>
          <t>Verdict</t>
        </is>
      </c>
    </row>
    <row r="2">
      <c r="A2" t="inlineStr">
        <is>
          <t>INV-2026-1212</t>
        </is>
      </c>
      <c r="B2" t="inlineStr">
        <is>
          <t>invoice</t>
        </is>
      </c>
      <c r="C2" t="inlineStr">
        <is>
          <t>due_date</t>
        </is>
      </c>
      <c r="D2" s="7" t="inlineStr">
        <is>
          <t>low</t>
        </is>
      </c>
      <c r="E2" t="inlineStr">
        <is>
          <t>2026-07-03</t>
        </is>
      </c>
      <c r="F2" t="inlineStr">
        <is>
          <t>page 1, header block, right column, 'Payment due' row</t>
        </is>
      </c>
      <c r="G2" s="10" t="inlineStr">
        <is>
          <t>printed 03/07/2026, ambiguous between day-first and month-first; read day-first to match the issue date on the same document and the printed Net 30 day terms</t>
        </is>
      </c>
      <c r="H2" t="inlineStr">
        <is>
          <t>INV-2026-1212.pdf</t>
        </is>
      </c>
    </row>
    <row r="3">
      <c r="A3" t="inlineStr">
        <is>
          <t>INV-2026-1212</t>
        </is>
      </c>
      <c r="B3" t="inlineStr">
        <is>
          <t>invoice</t>
        </is>
      </c>
      <c r="C3" t="inlineStr">
        <is>
          <t>issue_date</t>
        </is>
      </c>
      <c r="D3" s="7" t="inlineStr">
        <is>
          <t>low</t>
        </is>
      </c>
      <c r="E3" t="inlineStr">
        <is>
          <t>2026-06-03</t>
        </is>
      </c>
      <c r="F3" t="inlineStr">
        <is>
          <t>page 1, header block, right column, 'Issue date' row</t>
        </is>
      </c>
      <c r="G3" s="10" t="inlineStr">
        <is>
          <t>printed 03/06/2026, which is ambiguous between day-first and month-first; read day-first because the billing period printed on the same document is May 2026 and the SOW invoices monthly in arrears, and because the printed payment due date 03/07/2026 is exactly the stated Net 30 days later only on the day-first reading</t>
        </is>
      </c>
      <c r="H3" t="inlineStr">
        <is>
          <t>INV-2026-1212.pdf</t>
        </is>
      </c>
    </row>
    <row r="4">
      <c r="A4" t="inlineStr">
        <is>
          <t>INV-2026-1500</t>
        </is>
      </c>
      <c r="B4" t="inlineStr">
        <is>
          <t>invoice</t>
        </is>
      </c>
      <c r="C4" t="inlineStr">
        <is>
          <t>total_due</t>
        </is>
      </c>
      <c r="D4" s="11" t="inlineStr">
        <is>
          <t>unreadable</t>
        </is>
      </c>
      <c r="F4" t="inlineStr"/>
      <c r="G4" s="10" t="inlineStr">
        <is>
          <t>the scan ends immediately after the third line item; the whole totals block, including the TOTAL DUE line, is below the scan margin and is not on the page. REM-2026-8461 in this same folder settles INV-2026-1500 at 34,906.40, but that figure belongs to the remittance and has deliberately not been carried across to this invoice</t>
        </is>
      </c>
      <c r="H4" t="inlineStr">
        <is>
          <t>scan_20260814_119189.pdf</t>
        </is>
      </c>
    </row>
    <row r="5">
      <c r="A5" t="inlineStr">
        <is>
          <t>INV-2026-1596</t>
        </is>
      </c>
      <c r="B5" t="inlineStr">
        <is>
          <t>invoice</t>
        </is>
      </c>
      <c r="C5" t="inlineStr">
        <is>
          <t>payment_terms</t>
        </is>
      </c>
      <c r="D5" s="7" t="inlineStr">
        <is>
          <t>low</t>
        </is>
      </c>
      <c r="E5" t="inlineStr">
        <is>
          <t>Net 30 days from date of issue</t>
        </is>
      </c>
      <c r="F5" t="inlineStr">
        <is>
          <t>page 1, payment terms line beneath the totals block</t>
        </is>
      </c>
      <c r="G5" s="10" t="inlineStr">
        <is>
          <t>a handwritten note below the payment block reads 'net 14 days not 30 -- agreed w/ MJ 12/8', contradicting the printed terms. The printed value is recorded; the annotation is unsigned and undated as to year and has not been applied</t>
        </is>
      </c>
      <c r="H5" t="inlineStr">
        <is>
          <t>scan_20260814_120638.pdf</t>
        </is>
      </c>
    </row>
    <row r="6">
      <c r="A6" t="inlineStr">
        <is>
          <t>STM-2026-101</t>
        </is>
      </c>
      <c r="B6" t="inlineStr">
        <is>
          <t>statement</t>
        </is>
      </c>
      <c r="C6" t="inlineStr">
        <is>
          <t>invoice_count</t>
        </is>
      </c>
      <c r="D6" s="11" t="inlineStr">
        <is>
          <t>unreadable</t>
        </is>
      </c>
      <c r="F6" t="inlineStr"/>
      <c r="G6" s="10" t="inlineStr">
        <is>
          <t>the INVOICES OUTSTANDING label is present but cell E18 holds the uncalculated formula =COUNT(E13:E15) with no stored result, so the workbook states no count</t>
        </is>
      </c>
      <c r="H6" t="inlineStr">
        <is>
          <t>Statement of account - Ashcombe Health Partners - Aug 2026.xlsx</t>
        </is>
      </c>
    </row>
    <row r="7">
      <c r="A7" t="inlineStr">
        <is>
          <t>STM-2026-101</t>
        </is>
      </c>
      <c r="B7" t="inlineStr">
        <is>
          <t>statement</t>
        </is>
      </c>
      <c r="C7" t="inlineStr">
        <is>
          <t>total_outstanding</t>
        </is>
      </c>
      <c r="D7" s="11" t="inlineStr">
        <is>
          <t>unreadable</t>
        </is>
      </c>
      <c r="F7" t="inlineStr"/>
      <c r="G7" s="10" t="inlineStr">
        <is>
          <t>the TOTAL OUTSTANDING label is present but cell E17 holds the uncalculated formula =SUM(E13:E15) with no stored result, so the workbook states no balance. It could be recomputed from the amounts in rows 13 to 15, but that figure would be mine and not the statement's, so it is not recorded here</t>
        </is>
      </c>
      <c r="H7" t="inlineStr">
        <is>
          <t>Statement of account - Ashcombe Health Partners - Aug 2026.xlsx</t>
        </is>
      </c>
    </row>
    <row r="8">
      <c r="A8" t="inlineStr">
        <is>
          <t>STM-2026-102</t>
        </is>
      </c>
      <c r="B8" t="inlineStr">
        <is>
          <t>statement</t>
        </is>
      </c>
      <c r="C8" t="inlineStr">
        <is>
          <t>invoice_count</t>
        </is>
      </c>
      <c r="D8" s="11" t="inlineStr">
        <is>
          <t>unreadable</t>
        </is>
      </c>
      <c r="F8" t="inlineStr"/>
      <c r="G8" s="10" t="inlineStr">
        <is>
          <t>the INVOICES OUTSTANDING label is present but cell E17 holds the uncalculated formula =COUNT(E13:E14) with no stored result, so the workbook states no count</t>
        </is>
      </c>
      <c r="H8" t="inlineStr">
        <is>
          <t>Statement of account - Fernhollow Financial Trust - Aug 2026.xlsx</t>
        </is>
      </c>
    </row>
    <row r="9">
      <c r="A9" t="inlineStr">
        <is>
          <t>STM-2026-102</t>
        </is>
      </c>
      <c r="B9" t="inlineStr">
        <is>
          <t>statement</t>
        </is>
      </c>
      <c r="C9" t="inlineStr">
        <is>
          <t>total_outstanding</t>
        </is>
      </c>
      <c r="D9" s="11" t="inlineStr">
        <is>
          <t>unreadable</t>
        </is>
      </c>
      <c r="F9" t="inlineStr"/>
      <c r="G9" s="10" t="inlineStr">
        <is>
          <t>the TOTAL OUTSTANDING label is present but cell E16 holds the uncalculated formula =SUM(E13:E14) with no stored result, so the workbook states no balance. It could be recomputed from the amounts in rows 13 to 14, but that figure would be mine and not the statement's, so it is not recorded here</t>
        </is>
      </c>
      <c r="H9" t="inlineStr">
        <is>
          <t>Statement of account - Fernhollow Financial Trust - Aug 2026.xlsx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2026-09-04T03:37:13Z</dcterms:created>
  <dcterms:modified xmlns:dcterms="http://purl.org/dc/terms/" xmlns:xsi="http://www.w3.org/2001/XMLSchema-instance" xsi:type="dcterms:W3CDTF">2026-09-04T03:37:13Z</dcterms:modified>
</cp:coreProperties>
</file>