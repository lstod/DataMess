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voices" sheetId="2" state="visible" r:id="rId2"/>
    <sheet xmlns:r="http://schemas.openxmlformats.org/officeDocument/2006/relationships" name="Engagements" sheetId="3" state="visible" r:id="rId3"/>
    <sheet xmlns:r="http://schemas.openxmlformats.org/officeDocument/2006/relationships" name="Exceptions" sheetId="4" state="visible" r:id="rId4"/>
    <sheet xmlns:r="http://schemas.openxmlformats.org/officeDocument/2006/relationships" name="QA"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FE8B0"/>
      </patternFill>
    </fill>
    <fill>
      <patternFill patternType="solid">
        <fgColor rgb="00F8C9C4"/>
      </patternFill>
    </fill>
  </fills>
  <borders count="1">
    <border>
      <left/>
      <right/>
      <top/>
      <bottom/>
      <diagonal/>
    </border>
  </borders>
  <cellStyleXfs count="1">
    <xf numFmtId="0" fontId="0" fillId="0" borderId="0"/>
  </cellStyleXfs>
  <cellXfs count="12">
    <xf numFmtId="0" fontId="0" fillId="0" borderId="0" pivotButton="0" quotePrefix="0" xfId="0"/>
    <xf numFmtId="0" fontId="3" fillId="0" borderId="0" pivotButton="0" quotePrefix="0" xfId="0"/>
    <xf numFmtId="0" fontId="2" fillId="0" borderId="0" pivotButton="0" quotePrefix="0" xfId="0"/>
    <xf numFmtId="4" fontId="2" fillId="0" borderId="0" pivotButton="0" quotePrefix="0" xfId="0"/>
    <xf numFmtId="0" fontId="0" fillId="0" borderId="0" applyAlignment="1" pivotButton="0" quotePrefix="0" xfId="0">
      <alignment vertical="center"/>
    </xf>
    <xf numFmtId="0" fontId="1" fillId="2" borderId="0" applyAlignment="1" pivotButton="0" quotePrefix="0" xfId="0">
      <alignment vertical="center" wrapText="1"/>
    </xf>
    <xf numFmtId="4" fontId="0" fillId="0" borderId="0" pivotButton="0" quotePrefix="0" xfId="0"/>
    <xf numFmtId="0" fontId="0" fillId="3" borderId="0" pivotButton="0" quotePrefix="0" xfId="0"/>
    <xf numFmtId="4" fontId="0" fillId="4" borderId="0" pivotButton="0" quotePrefix="0" xfId="0"/>
    <xf numFmtId="4" fontId="0" fillId="3" borderId="0" pivotButton="0" quotePrefix="0" xfId="0"/>
    <xf numFmtId="0" fontId="0" fillId="0" borderId="0" applyAlignment="1" pivotButton="0" quotePrefix="0" xfId="0">
      <alignment vertical="top" wrapText="1"/>
    </xf>
    <xf numFmtId="0" fontId="0" fillId="4" borderId="0" pivotButton="0" quotePrefix="0" xfId="0"/>
  </cellXfs>
  <cellStyles count="1">
    <cellStyle name="Normal" xfId="0" builtinId="0" hidden="0"/>
  </cellStyles>
  <dxfs count="1">
    <dxf>
      <fill>
        <patternFill patternType="solid">
          <fgColor rgb="00FFE8B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DocMess</author>
  </authors>
  <commentList>
    <comment ref="M4" authorId="0" shapeId="0">
      <text>
        <t>low: a handwritten note in the lower left of the page reads 'net 14 days not 30 -- agreed w/ MJ 12/8', contradicting the printed terms; the printed value is recorded. The note, if honoured, would also bring the settlement date forward from the printed payment due date of 05 August 2026, which is recorded as printed</t>
      </text>
    </comment>
    <comment ref="G27" authorId="0" shapeId="0">
      <text>
        <t>low: printed 06/08/2026 with no stated convention; read day-first as 6 August 2026 because the month-first reading (8 June 2026) falls before the 07/07/2026 issue date, and day-first agrees with the printed Net 30 terms and the June 2026 billing period</t>
      </text>
    </comment>
    <comment ref="L34" authorId="0" shapeId="0">
      <text>
        <t>unreadable: the scan ends mid-line-item partway down the description table and the totals block is below the page margin; the extent of what is missing cannot be determined from the scan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42" customWidth="1" min="1" max="1"/>
    <col width="20" customWidth="1" min="2" max="2"/>
    <col width="58" customWidth="1" min="3" max="3"/>
  </cols>
  <sheetData>
    <row r="1">
      <c r="A1" s="1" t="inlineStr">
        <is>
          <t>Extraction review</t>
        </is>
      </c>
    </row>
    <row r="2">
      <c r="A2" t="inlineStr">
        <is>
          <t>Source: extractions.json</t>
        </is>
      </c>
    </row>
    <row r="3">
      <c r="A3" t="inlineStr">
        <is>
          <t>74 document records</t>
        </is>
      </c>
    </row>
    <row r="5">
      <c r="A5" s="2" t="inlineStr">
        <is>
          <t>Documents by type</t>
        </is>
      </c>
    </row>
    <row r="6">
      <c r="A6" t="inlineStr">
        <is>
          <t>sow</t>
        </is>
      </c>
      <c r="B6" t="n">
        <v>18</v>
      </c>
    </row>
    <row r="7">
      <c r="A7" t="inlineStr">
        <is>
          <t>sow_amendment</t>
        </is>
      </c>
      <c r="B7" t="n">
        <v>6</v>
      </c>
    </row>
    <row r="8">
      <c r="A8" t="inlineStr">
        <is>
          <t>invoice</t>
        </is>
      </c>
      <c r="B8" t="n">
        <v>36</v>
      </c>
    </row>
    <row r="9">
      <c r="A9" t="inlineStr">
        <is>
          <t>remittance</t>
        </is>
      </c>
      <c r="B9" t="n">
        <v>8</v>
      </c>
    </row>
    <row r="10">
      <c r="A10" t="inlineStr">
        <is>
          <t>statement</t>
        </is>
      </c>
      <c r="B10" t="n">
        <v>2</v>
      </c>
    </row>
    <row r="11">
      <c r="A11" t="inlineStr">
        <is>
          <t>out_of_scope</t>
        </is>
      </c>
      <c r="B11" t="n">
        <v>4</v>
      </c>
    </row>
    <row r="12">
      <c r="A12" s="2" t="inlineStr">
        <is>
          <t>Total documents</t>
        </is>
      </c>
      <c r="B12" s="2">
        <f>SUM(B6:B11)</f>
        <v/>
      </c>
    </row>
    <row r="14">
      <c r="A14" s="2" t="inlineStr">
        <is>
          <t>Figures</t>
        </is>
      </c>
    </row>
    <row r="15">
      <c r="A15" t="inlineStr">
        <is>
          <t>Total invoiced</t>
        </is>
      </c>
      <c r="B15" s="3">
        <f>'Invoices'!L39</f>
        <v/>
      </c>
      <c r="C15" s="4" t="inlineStr">
        <is>
          <t>the Invoices tab's own total, which is a SUM over its rows -- click through</t>
        </is>
      </c>
    </row>
    <row r="16">
      <c r="A16" t="inlineStr">
        <is>
          <t>Invoices extracted</t>
        </is>
      </c>
      <c r="B16" s="2">
        <f>COUNTA('Invoices'!A2:A237)</f>
        <v/>
      </c>
      <c r="C16" s="4" t="inlineStr">
        <is>
          <t>rows on the Invoices tab</t>
        </is>
      </c>
    </row>
    <row r="17">
      <c r="A17" t="inlineStr">
        <is>
          <t>Invoices missing a total</t>
        </is>
      </c>
      <c r="B17" s="2">
        <f>COUNTBLANK('Invoices'!L2:L37)</f>
        <v/>
      </c>
      <c r="C17" s="4" t="inlineStr">
        <is>
          <t>a blank total is an unreadable figure, not a zero</t>
        </is>
      </c>
    </row>
    <row r="18">
      <c r="A18" t="inlineStr">
        <is>
          <t>Engagements under contract</t>
        </is>
      </c>
      <c r="B18" s="2">
        <f>COUNTA('Engagements'!A2:A19)</f>
        <v/>
      </c>
      <c r="C18" s="4" t="inlineStr">
        <is>
          <t>one per SOW, with any amendment applied in the Current ceiling column</t>
        </is>
      </c>
    </row>
    <row r="19">
      <c r="A19" t="inlineStr">
        <is>
          <t>Fields flagged for review</t>
        </is>
      </c>
      <c r="B19" s="2">
        <f>COUNTA('QA'!C2:C8)</f>
        <v/>
      </c>
      <c r="C19" s="4" t="inlineStr">
        <is>
          <t>every low and unreadable field, listed on the QA tab with its evidence</t>
        </is>
      </c>
    </row>
    <row r="20">
      <c r="A20" t="inlineStr">
        <is>
          <t xml:space="preserve">  of which unreadable</t>
        </is>
      </c>
      <c r="B20" s="2">
        <f>COUNTIF('QA'!D2:D8,"unreadable")</f>
        <v/>
      </c>
      <c r="C20" s="4" t="inlineStr">
        <is>
          <t>the figure was not on the page. Never guessed</t>
        </is>
      </c>
    </row>
    <row r="21">
      <c r="A21" t="inlineStr">
        <is>
          <t xml:space="preserve">  of which low confidence</t>
        </is>
      </c>
      <c r="B21" s="2">
        <f>COUNTIF('QA'!D2:D8,"low")</f>
        <v/>
      </c>
      <c r="C21" s="4" t="inlineStr">
        <is>
          <t>read, but the reading depends on an inference that is written down</t>
        </is>
      </c>
    </row>
    <row r="22">
      <c r="A22" t="inlineStr">
        <is>
          <t>Exceptions to resolve</t>
        </is>
      </c>
      <c r="B22" s="2">
        <f>COUNTA('Exceptions'!A2:A18)</f>
        <v/>
      </c>
      <c r="C22" s="4" t="inlineStr">
        <is>
          <t>duplicates, supersessions, out-of-scope documents and unreadable figures</t>
        </is>
      </c>
    </row>
    <row r="23">
      <c r="A23" t="inlineStr">
        <is>
          <t>Reviewed</t>
        </is>
      </c>
      <c r="B23" s="2">
        <f>COUNTA('QA'!I2:I8)</f>
        <v/>
      </c>
      <c r="C23" s="4" t="inlineStr">
        <is>
          <t>fills in as somebody works down the Verdict column on the QA tab</t>
        </is>
      </c>
    </row>
    <row r="25">
      <c r="A25" s="2" t="inlineStr">
        <is>
          <t>Every figure under Figures is a formula.</t>
        </is>
      </c>
    </row>
    <row r="26">
      <c r="A26" t="inlineStr">
        <is>
          <t>Click one and follow it through to the rows it came from. Nothing there was computed and typed in.</t>
        </is>
      </c>
    </row>
    <row r="27">
      <c r="A27" t="inlineStr">
        <is>
          <t>The counts under Documents by type are a census of the extraction itself, so they are values.</t>
        </is>
      </c>
    </row>
    <row r="28">
      <c r="A28" t="inlineStr">
        <is>
          <t>Amber means low confidence, red means unreadable. Hover any filled cell for the reason.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2" customWidth="1" min="4" max="4"/>
    <col width="11" customWidth="1" min="5" max="5"/>
    <col width="13" customWidth="1" min="6" max="6"/>
    <col width="13" customWidth="1" min="7" max="7"/>
    <col width="14" customWidth="1" min="8" max="8"/>
    <col width="15" customWidth="1" min="9" max="9"/>
    <col width="14" customWidth="1" min="10" max="10"/>
    <col width="12" customWidth="1" min="11" max="11"/>
    <col width="14" customWidth="1" min="12" max="12"/>
    <col width="30" customWidth="1" min="13" max="13"/>
    <col width="34" customWidth="1" min="14" max="14"/>
    <col width="9" customWidth="1" min="15" max="15"/>
  </cols>
  <sheetData>
    <row r="1">
      <c r="A1" s="5" t="inlineStr">
        <is>
          <t>Invoice</t>
        </is>
      </c>
      <c r="B1" s="5" t="inlineStr">
        <is>
          <t>Client</t>
        </is>
      </c>
      <c r="C1" s="5" t="inlineStr">
        <is>
          <t>Engagement</t>
        </is>
      </c>
      <c r="D1" s="5" t="inlineStr">
        <is>
          <t>PO</t>
        </is>
      </c>
      <c r="E1" s="5" t="inlineStr">
        <is>
          <t>Period</t>
        </is>
      </c>
      <c r="F1" s="5" t="inlineStr">
        <is>
          <t>Issued</t>
        </is>
      </c>
      <c r="G1" s="5" t="inlineStr">
        <is>
          <t>Due</t>
        </is>
      </c>
      <c r="H1" s="5" t="inlineStr">
        <is>
          <t>Subtotal</t>
        </is>
      </c>
      <c r="I1" s="5" t="inlineStr">
        <is>
          <t>Retainer credit</t>
        </is>
      </c>
      <c r="J1" s="5" t="inlineStr">
        <is>
          <t>Net</t>
        </is>
      </c>
      <c r="K1" s="5" t="inlineStr">
        <is>
          <t>VAT</t>
        </is>
      </c>
      <c r="L1" s="5" t="inlineStr">
        <is>
          <t>Total due</t>
        </is>
      </c>
      <c r="M1" s="5" t="inlineStr">
        <is>
          <t>Terms</t>
        </is>
      </c>
      <c r="N1" s="5" t="inlineStr">
        <is>
          <t>Source file</t>
        </is>
      </c>
      <c r="O1" s="5" t="inlineStr">
        <is>
          <t>Pages</t>
        </is>
      </c>
    </row>
    <row r="2">
      <c r="A2" t="inlineStr">
        <is>
          <t>INV-2026-0798</t>
        </is>
      </c>
      <c r="B2" t="inlineStr">
        <is>
          <t>Quarrymoor Media Collective</t>
        </is>
      </c>
      <c r="C2" t="inlineStr">
        <is>
          <t>SOW-2025-001</t>
        </is>
      </c>
      <c r="D2" t="inlineStr">
        <is>
          <t>PO-51574</t>
        </is>
      </c>
      <c r="E2" t="inlineStr">
        <is>
          <t>2026-06</t>
        </is>
      </c>
      <c r="F2" t="inlineStr">
        <is>
          <t>2026-07-09</t>
        </is>
      </c>
      <c r="G2" t="inlineStr">
        <is>
          <t>2026-08-08</t>
        </is>
      </c>
      <c r="H2" s="6" t="n">
        <v>40648.41</v>
      </c>
      <c r="I2" s="6" t="n">
        <v>-4028.74</v>
      </c>
      <c r="J2" s="6" t="n">
        <v>36619.67</v>
      </c>
      <c r="K2" s="6" t="n">
        <v>7323.93</v>
      </c>
      <c r="L2" s="6" t="n">
        <v>43943.6</v>
      </c>
      <c r="M2" t="inlineStr">
        <is>
          <t>Net 30 days from date of issue</t>
        </is>
      </c>
      <c r="N2" t="inlineStr">
        <is>
          <t>scan_20260814_113966.pdf</t>
        </is>
      </c>
      <c r="O2" t="inlineStr">
        <is>
          <t>1</t>
        </is>
      </c>
    </row>
    <row r="3">
      <c r="A3" t="inlineStr">
        <is>
          <t>INV-2026-0814</t>
        </is>
      </c>
      <c r="B3" t="inlineStr">
        <is>
          <t>Quarrymoor Media Collective</t>
        </is>
      </c>
      <c r="C3" t="inlineStr">
        <is>
          <t>SOW-2025-001</t>
        </is>
      </c>
      <c r="D3" t="inlineStr">
        <is>
          <t>PO-18796</t>
        </is>
      </c>
      <c r="E3" t="inlineStr">
        <is>
          <t>2026-07</t>
        </is>
      </c>
      <c r="F3" t="inlineStr">
        <is>
          <t>2026-08-07</t>
        </is>
      </c>
      <c r="G3" t="inlineStr">
        <is>
          <t>2026-09-06</t>
        </is>
      </c>
      <c r="H3" s="6" t="n">
        <v>54067.58</v>
      </c>
      <c r="I3" s="6" t="n">
        <v>-11160.66</v>
      </c>
      <c r="J3" s="6" t="n">
        <v>42906.92</v>
      </c>
      <c r="K3" s="6" t="n">
        <v>8581.379999999999</v>
      </c>
      <c r="L3" s="6" t="n">
        <v>51488.3</v>
      </c>
      <c r="M3" t="inlineStr">
        <is>
          <t>Net 30 days from date of issue</t>
        </is>
      </c>
      <c r="N3" t="inlineStr">
        <is>
          <t>INV-2026-0814.pdf</t>
        </is>
      </c>
      <c r="O3" t="inlineStr">
        <is>
          <t>1</t>
        </is>
      </c>
    </row>
    <row r="4">
      <c r="A4" t="inlineStr">
        <is>
          <t>INV-2026-0910</t>
        </is>
      </c>
      <c r="B4" t="inlineStr">
        <is>
          <t>Underwood Utilities Collective</t>
        </is>
      </c>
      <c r="C4" t="inlineStr">
        <is>
          <t>SOW-2026-002</t>
        </is>
      </c>
      <c r="D4" t="inlineStr">
        <is>
          <t>PO-48919</t>
        </is>
      </c>
      <c r="E4" t="inlineStr">
        <is>
          <t>2026-06</t>
        </is>
      </c>
      <c r="F4" t="inlineStr">
        <is>
          <t>2026-07-06</t>
        </is>
      </c>
      <c r="G4" t="inlineStr">
        <is>
          <t>2026-08-05</t>
        </is>
      </c>
      <c r="H4" s="6" t="n">
        <v>30493.43</v>
      </c>
      <c r="I4" s="6" t="n">
        <v>-2998.76</v>
      </c>
      <c r="J4" s="6" t="n">
        <v>27494.67</v>
      </c>
      <c r="K4" s="6" t="n">
        <v>5498.93</v>
      </c>
      <c r="L4" s="6" t="n">
        <v>32993.6</v>
      </c>
      <c r="M4" s="7" t="inlineStr">
        <is>
          <t>Net 30 days from date of issue</t>
        </is>
      </c>
      <c r="N4" t="inlineStr">
        <is>
          <t>scan_20260814_114827.pdf</t>
        </is>
      </c>
      <c r="O4" t="inlineStr">
        <is>
          <t>1</t>
        </is>
      </c>
    </row>
    <row r="5">
      <c r="A5" t="inlineStr">
        <is>
          <t>INV-2026-0926</t>
        </is>
      </c>
      <c r="B5" t="inlineStr">
        <is>
          <t>Underwood Utilities Collective</t>
        </is>
      </c>
      <c r="C5" t="inlineStr">
        <is>
          <t>SOW-2026-002</t>
        </is>
      </c>
      <c r="D5" t="inlineStr">
        <is>
          <t>PO-70873</t>
        </is>
      </c>
      <c r="E5" t="inlineStr">
        <is>
          <t>2026-07</t>
        </is>
      </c>
      <c r="F5" t="inlineStr">
        <is>
          <t>2026-08-04</t>
        </is>
      </c>
      <c r="G5" t="inlineStr">
        <is>
          <t>2026-09-03</t>
        </is>
      </c>
      <c r="H5" s="6" t="n">
        <v>37076.46</v>
      </c>
      <c r="I5" s="6" t="n">
        <v>-5098.79</v>
      </c>
      <c r="J5" s="6" t="n">
        <v>31977.67</v>
      </c>
      <c r="K5" s="6" t="n">
        <v>6395.53</v>
      </c>
      <c r="L5" s="6" t="n">
        <v>38373.2</v>
      </c>
      <c r="M5" t="inlineStr">
        <is>
          <t>Net 30 days from date of issue</t>
        </is>
      </c>
      <c r="N5" t="inlineStr">
        <is>
          <t>scan_20260814_115198.pdf</t>
        </is>
      </c>
      <c r="O5" t="inlineStr">
        <is>
          <t>1</t>
        </is>
      </c>
    </row>
    <row r="6">
      <c r="A6" t="inlineStr">
        <is>
          <t>INV-2026-1070</t>
        </is>
      </c>
      <c r="B6" t="inlineStr">
        <is>
          <t>Underwood Utilities Collective</t>
        </is>
      </c>
      <c r="C6" t="inlineStr">
        <is>
          <t>SOW-2025-003</t>
        </is>
      </c>
      <c r="D6" t="inlineStr">
        <is>
          <t>PO-73122</t>
        </is>
      </c>
      <c r="E6" t="inlineStr">
        <is>
          <t>2026-05</t>
        </is>
      </c>
      <c r="F6" t="inlineStr">
        <is>
          <t>2026-06-05</t>
        </is>
      </c>
      <c r="G6" t="inlineStr">
        <is>
          <t>2026-07-05</t>
        </is>
      </c>
      <c r="H6" s="6" t="n">
        <v>36121.06</v>
      </c>
      <c r="I6" s="6" t="n">
        <v>-5737.31</v>
      </c>
      <c r="J6" s="6" t="n">
        <v>30383.75</v>
      </c>
      <c r="K6" s="6" t="n">
        <v>6076.75</v>
      </c>
      <c r="L6" s="6" t="n">
        <v>36460.5</v>
      </c>
      <c r="M6" t="inlineStr">
        <is>
          <t>Net 30 days from date of issue</t>
        </is>
      </c>
      <c r="N6" t="inlineStr">
        <is>
          <t>INV-2026-1070.pdf</t>
        </is>
      </c>
      <c r="O6" t="inlineStr">
        <is>
          <t>1</t>
        </is>
      </c>
    </row>
    <row r="7">
      <c r="A7" t="inlineStr">
        <is>
          <t>INV-2026-1086</t>
        </is>
      </c>
      <c r="B7" t="inlineStr">
        <is>
          <t>Underwood Utilities Collective</t>
        </is>
      </c>
      <c r="C7" t="inlineStr">
        <is>
          <t>SOW-2025-003</t>
        </is>
      </c>
      <c r="D7" t="inlineStr">
        <is>
          <t>PO-76168</t>
        </is>
      </c>
      <c r="E7" t="inlineStr">
        <is>
          <t>2026-06</t>
        </is>
      </c>
      <c r="F7" t="inlineStr">
        <is>
          <t>2026-07-06</t>
        </is>
      </c>
      <c r="G7" t="inlineStr">
        <is>
          <t>2026-08-05</t>
        </is>
      </c>
      <c r="H7" s="6" t="n">
        <v>50197.12</v>
      </c>
      <c r="I7" s="6" t="n">
        <v>-6540.12</v>
      </c>
      <c r="J7" s="6" t="n">
        <v>43657</v>
      </c>
      <c r="K7" s="6" t="n">
        <v>8731.4</v>
      </c>
      <c r="L7" s="6" t="n">
        <v>52388.4</v>
      </c>
      <c r="M7" t="inlineStr">
        <is>
          <t>Net 30 days from date of issue</t>
        </is>
      </c>
      <c r="N7" t="inlineStr">
        <is>
          <t>INV-2026-1086.pdf</t>
        </is>
      </c>
      <c r="O7" t="inlineStr">
        <is>
          <t>1</t>
        </is>
      </c>
    </row>
    <row r="8">
      <c r="A8" t="inlineStr">
        <is>
          <t>INV-2026-1102</t>
        </is>
      </c>
      <c r="B8" t="inlineStr">
        <is>
          <t>Underwood Utilities Collective</t>
        </is>
      </c>
      <c r="C8" t="inlineStr">
        <is>
          <t>SOW-2025-003</t>
        </is>
      </c>
      <c r="D8" t="inlineStr">
        <is>
          <t>PO-46213</t>
        </is>
      </c>
      <c r="E8" t="inlineStr">
        <is>
          <t>2026-07</t>
        </is>
      </c>
      <c r="F8" t="inlineStr">
        <is>
          <t>2026-08-04</t>
        </is>
      </c>
      <c r="G8" t="inlineStr">
        <is>
          <t>2026-09-03</t>
        </is>
      </c>
      <c r="H8" s="6" t="n">
        <v>60466.28</v>
      </c>
      <c r="I8" s="6" t="n">
        <v>-12087.86</v>
      </c>
      <c r="J8" s="6" t="n">
        <v>48378.42</v>
      </c>
      <c r="K8" s="6" t="n">
        <v>9675.68</v>
      </c>
      <c r="L8" s="6" t="n">
        <v>58054.1</v>
      </c>
      <c r="M8" t="inlineStr">
        <is>
          <t>Net 30 days from date of issue</t>
        </is>
      </c>
      <c r="N8" t="inlineStr">
        <is>
          <t>scan_20260814_115530.pdf</t>
        </is>
      </c>
      <c r="O8" t="inlineStr">
        <is>
          <t>1</t>
        </is>
      </c>
    </row>
    <row r="9">
      <c r="A9" t="inlineStr">
        <is>
          <t>INV-2026-1182</t>
        </is>
      </c>
      <c r="B9" t="inlineStr">
        <is>
          <t>Westmoor Media Trust</t>
        </is>
      </c>
      <c r="C9" t="inlineStr">
        <is>
          <t>SOW-2026-004</t>
        </is>
      </c>
      <c r="D9" t="inlineStr">
        <is>
          <t>PO-63561</t>
        </is>
      </c>
      <c r="E9" t="inlineStr">
        <is>
          <t>2026-05</t>
        </is>
      </c>
      <c r="F9" t="inlineStr">
        <is>
          <t>2026-06-06</t>
        </is>
      </c>
      <c r="G9" t="inlineStr">
        <is>
          <t>2026-07-06</t>
        </is>
      </c>
      <c r="H9" s="6" t="n">
        <v>54040.84</v>
      </c>
      <c r="I9" s="6" t="n">
        <v>-6599.84</v>
      </c>
      <c r="J9" s="6" t="n">
        <v>47441</v>
      </c>
      <c r="K9" s="6" t="n">
        <v>9488.200000000001</v>
      </c>
      <c r="L9" s="6" t="n">
        <v>56929.2</v>
      </c>
      <c r="M9" t="inlineStr">
        <is>
          <t>Net 30 days from date of issue</t>
        </is>
      </c>
      <c r="N9" t="inlineStr">
        <is>
          <t>scan_20260814_115703.pdf</t>
        </is>
      </c>
      <c r="O9" t="inlineStr">
        <is>
          <t>1</t>
        </is>
      </c>
    </row>
    <row r="10">
      <c r="A10" t="inlineStr">
        <is>
          <t>INV-2026-1198</t>
        </is>
      </c>
      <c r="B10" t="inlineStr">
        <is>
          <t>Westmoor Media Trust</t>
        </is>
      </c>
      <c r="C10" t="inlineStr">
        <is>
          <t>SOW-2026-004</t>
        </is>
      </c>
      <c r="D10" t="inlineStr">
        <is>
          <t>PO-71726</t>
        </is>
      </c>
      <c r="E10" t="inlineStr">
        <is>
          <t>2026-06</t>
        </is>
      </c>
      <c r="F10" t="inlineStr">
        <is>
          <t>2026-07-03</t>
        </is>
      </c>
      <c r="G10" t="inlineStr">
        <is>
          <t>2026-08-02</t>
        </is>
      </c>
      <c r="H10" s="6" t="n">
        <v>50056.15</v>
      </c>
      <c r="I10" s="6" t="n">
        <v>-2821.82</v>
      </c>
      <c r="J10" s="6" t="n">
        <v>47234.33</v>
      </c>
      <c r="K10" s="6" t="n">
        <v>9446.870000000001</v>
      </c>
      <c r="L10" s="6" t="n">
        <v>56681.2</v>
      </c>
      <c r="M10" t="inlineStr">
        <is>
          <t>Net 30 days from date of issue</t>
        </is>
      </c>
      <c r="N10" t="inlineStr">
        <is>
          <t>scan_20260814_116009.pdf</t>
        </is>
      </c>
      <c r="O10" t="inlineStr">
        <is>
          <t>1</t>
        </is>
      </c>
    </row>
    <row r="11">
      <c r="A11" t="inlineStr">
        <is>
          <t>INV-2026-1214</t>
        </is>
      </c>
      <c r="B11" t="inlineStr">
        <is>
          <t>Westmoor Media Trust</t>
        </is>
      </c>
      <c r="C11" t="inlineStr">
        <is>
          <t>SOW-2026-004</t>
        </is>
      </c>
      <c r="D11" t="inlineStr">
        <is>
          <t>PO-49720</t>
        </is>
      </c>
      <c r="E11" t="inlineStr">
        <is>
          <t>2026-07</t>
        </is>
      </c>
      <c r="F11" t="inlineStr">
        <is>
          <t>2026-08-06</t>
        </is>
      </c>
      <c r="G11" t="inlineStr">
        <is>
          <t>2026-09-05</t>
        </is>
      </c>
      <c r="H11" s="6" t="n">
        <v>48260.96</v>
      </c>
      <c r="I11" s="6" t="n">
        <v>-6658.46</v>
      </c>
      <c r="J11" s="6" t="n">
        <v>41602.5</v>
      </c>
      <c r="K11" s="6" t="n">
        <v>8320.5</v>
      </c>
      <c r="L11" s="6" t="n">
        <v>49923</v>
      </c>
      <c r="M11" t="inlineStr">
        <is>
          <t>Net 30 days from date of issue</t>
        </is>
      </c>
      <c r="N11" t="inlineStr">
        <is>
          <t>INV-2026-1214.pdf</t>
        </is>
      </c>
      <c r="O11" t="inlineStr">
        <is>
          <t>1</t>
        </is>
      </c>
    </row>
    <row r="12">
      <c r="A12" t="inlineStr">
        <is>
          <t>INV-2026-1230</t>
        </is>
      </c>
      <c r="B12" t="inlineStr">
        <is>
          <t>Ashcombe Agricultural Group</t>
        </is>
      </c>
      <c r="C12" t="inlineStr">
        <is>
          <t>SOW-2025-005</t>
        </is>
      </c>
      <c r="D12" t="inlineStr">
        <is>
          <t>PO-18003</t>
        </is>
      </c>
      <c r="E12" t="inlineStr">
        <is>
          <t>2026-05</t>
        </is>
      </c>
      <c r="F12" t="inlineStr">
        <is>
          <t>2026-05-12</t>
        </is>
      </c>
      <c r="G12" t="inlineStr">
        <is>
          <t>2026-06-11</t>
        </is>
      </c>
      <c r="H12" s="6" t="n">
        <v>118652.37</v>
      </c>
      <c r="I12" s="6" t="n">
        <v>-5632.74</v>
      </c>
      <c r="J12" s="6" t="n">
        <v>113019.63</v>
      </c>
      <c r="K12" s="6" t="n">
        <v>22603.93</v>
      </c>
      <c r="L12" s="6" t="n">
        <v>135623.56</v>
      </c>
      <c r="M12" t="inlineStr">
        <is>
          <t>Net 30 days from date of issue</t>
        </is>
      </c>
      <c r="N12" t="inlineStr">
        <is>
          <t>INV-2026-1230.pdf</t>
        </is>
      </c>
      <c r="O12" t="inlineStr">
        <is>
          <t>1</t>
        </is>
      </c>
    </row>
    <row r="13">
      <c r="A13" t="inlineStr">
        <is>
          <t>INV-2026-1422</t>
        </is>
      </c>
      <c r="B13" t="inlineStr">
        <is>
          <t>Quarrymoor Media Collective</t>
        </is>
      </c>
      <c r="C13" t="inlineStr">
        <is>
          <t>SOW-2026-007</t>
        </is>
      </c>
      <c r="D13" t="inlineStr">
        <is>
          <t>PO-60132</t>
        </is>
      </c>
      <c r="E13" t="inlineStr">
        <is>
          <t>2026-05</t>
        </is>
      </c>
      <c r="F13" t="inlineStr">
        <is>
          <t>2026-06-10</t>
        </is>
      </c>
      <c r="G13" t="inlineStr">
        <is>
          <t>2026-07-10</t>
        </is>
      </c>
      <c r="H13" s="6" t="n">
        <v>178030.2</v>
      </c>
      <c r="I13" s="6" t="n">
        <v>-27177.05</v>
      </c>
      <c r="J13" s="6" t="n">
        <v>150853.15</v>
      </c>
      <c r="K13" s="6" t="n">
        <v>30170.63</v>
      </c>
      <c r="L13" s="6" t="n">
        <v>181023.78</v>
      </c>
      <c r="M13" t="inlineStr">
        <is>
          <t>Net 30 days from date of issue</t>
        </is>
      </c>
      <c r="N13" t="inlineStr">
        <is>
          <t>scan_20260814_116838.pdf</t>
        </is>
      </c>
      <c r="O13" t="inlineStr">
        <is>
          <t>1</t>
        </is>
      </c>
    </row>
    <row r="14">
      <c r="A14" t="inlineStr">
        <is>
          <t>INV-2026-1646</t>
        </is>
      </c>
      <c r="B14" t="inlineStr">
        <is>
          <t>Underwood Utilities Collective</t>
        </is>
      </c>
      <c r="C14" t="inlineStr">
        <is>
          <t>SOW-2025-009</t>
        </is>
      </c>
      <c r="D14" t="inlineStr">
        <is>
          <t>PO-41165</t>
        </is>
      </c>
      <c r="E14" t="inlineStr">
        <is>
          <t>2026-08</t>
        </is>
      </c>
      <c r="F14" t="inlineStr">
        <is>
          <t>2026-08-10</t>
        </is>
      </c>
      <c r="G14" t="inlineStr">
        <is>
          <t>2026-09-09</t>
        </is>
      </c>
      <c r="H14" s="6" t="n">
        <v>64292.72</v>
      </c>
      <c r="I14" s="6" t="n">
        <v>-12433.45</v>
      </c>
      <c r="J14" s="6" t="n">
        <v>51859.27</v>
      </c>
      <c r="K14" s="6" t="n">
        <v>10371.85</v>
      </c>
      <c r="L14" s="6" t="n">
        <v>62231.12</v>
      </c>
      <c r="M14" t="inlineStr">
        <is>
          <t>Net 30 days from date of issue</t>
        </is>
      </c>
      <c r="N14" t="inlineStr">
        <is>
          <t>INV-2026-1646.pdf</t>
        </is>
      </c>
      <c r="O14" t="inlineStr">
        <is>
          <t>1</t>
        </is>
      </c>
    </row>
    <row r="15">
      <c r="A15" t="inlineStr">
        <is>
          <t>INV-2026-1710</t>
        </is>
      </c>
      <c r="B15" t="inlineStr">
        <is>
          <t>Fernhollow Utilities Holdings</t>
        </is>
      </c>
      <c r="C15" t="inlineStr">
        <is>
          <t>SOW-2026-011</t>
        </is>
      </c>
      <c r="D15" t="inlineStr">
        <is>
          <t>PO-21726</t>
        </is>
      </c>
      <c r="E15" t="inlineStr">
        <is>
          <t>2026-05</t>
        </is>
      </c>
      <c r="F15" t="inlineStr">
        <is>
          <t>2026-05-30</t>
        </is>
      </c>
      <c r="G15" t="inlineStr">
        <is>
          <t>2026-06-29</t>
        </is>
      </c>
      <c r="H15" s="6" t="n">
        <v>47025.45</v>
      </c>
      <c r="I15" s="6" t="n">
        <v>-5401.45</v>
      </c>
      <c r="J15" s="6" t="n">
        <v>41624</v>
      </c>
      <c r="K15" s="6" t="n">
        <v>8324.799999999999</v>
      </c>
      <c r="L15" s="6" t="n">
        <v>49948.8</v>
      </c>
      <c r="M15" t="inlineStr">
        <is>
          <t>Net 30 days from date of issue</t>
        </is>
      </c>
      <c r="N15" t="inlineStr">
        <is>
          <t>INV-2026-1710.pdf</t>
        </is>
      </c>
      <c r="O15" t="inlineStr">
        <is>
          <t>1</t>
        </is>
      </c>
    </row>
    <row r="16">
      <c r="A16" t="inlineStr">
        <is>
          <t>INV-2026-1966</t>
        </is>
      </c>
      <c r="B16" t="inlineStr">
        <is>
          <t>Thornbury Energy Group</t>
        </is>
      </c>
      <c r="C16" t="inlineStr">
        <is>
          <t>SOW-2026-014</t>
        </is>
      </c>
      <c r="D16" t="inlineStr">
        <is>
          <t>PO-26592</t>
        </is>
      </c>
      <c r="E16" t="inlineStr">
        <is>
          <t>2026-07</t>
        </is>
      </c>
      <c r="F16" t="inlineStr">
        <is>
          <t>2026-07-31</t>
        </is>
      </c>
      <c r="G16" t="inlineStr">
        <is>
          <t>2026-08-30</t>
        </is>
      </c>
      <c r="H16" s="6" t="n">
        <v>201826.67</v>
      </c>
      <c r="I16" s="6" t="n">
        <v>-30781.67</v>
      </c>
      <c r="J16" s="6" t="n">
        <v>171045</v>
      </c>
      <c r="K16" s="6" t="n">
        <v>34209</v>
      </c>
      <c r="L16" s="6" t="n">
        <v>205254</v>
      </c>
      <c r="M16" t="inlineStr">
        <is>
          <t>Net 30 days from date of issue</t>
        </is>
      </c>
      <c r="N16" t="inlineStr">
        <is>
          <t>INV-2026-1966.pdf</t>
        </is>
      </c>
      <c r="O16" t="inlineStr">
        <is>
          <t>1</t>
        </is>
      </c>
    </row>
    <row r="17">
      <c r="A17" t="inlineStr">
        <is>
          <t>INV-2026-2590</t>
        </is>
      </c>
      <c r="B17" t="inlineStr">
        <is>
          <t>Thornbury Energy Group</t>
        </is>
      </c>
      <c r="C17" t="inlineStr">
        <is>
          <t>SOW-2025-019</t>
        </is>
      </c>
      <c r="D17" t="inlineStr">
        <is>
          <t>PO-25283</t>
        </is>
      </c>
      <c r="E17" t="inlineStr">
        <is>
          <t>2026-07</t>
        </is>
      </c>
      <c r="F17" t="inlineStr">
        <is>
          <t>2026-07-14</t>
        </is>
      </c>
      <c r="G17" t="inlineStr">
        <is>
          <t>2026-08-13</t>
        </is>
      </c>
      <c r="H17" s="6" t="n">
        <v>155061.12</v>
      </c>
      <c r="I17" s="6" t="n">
        <v>-19043.73</v>
      </c>
      <c r="J17" s="6" t="n">
        <v>136017.39</v>
      </c>
      <c r="K17" s="6" t="n">
        <v>27203.48</v>
      </c>
      <c r="L17" s="6" t="n">
        <v>163220.87</v>
      </c>
      <c r="M17" t="inlineStr">
        <is>
          <t>Net 30 days from date of issue</t>
        </is>
      </c>
      <c r="N17" t="inlineStr">
        <is>
          <t>INV-2026-2590.pdf</t>
        </is>
      </c>
      <c r="O17" t="inlineStr">
        <is>
          <t>1</t>
        </is>
      </c>
    </row>
    <row r="18">
      <c r="A18" t="inlineStr">
        <is>
          <t>INV-2026-2686</t>
        </is>
      </c>
      <c r="B18" t="inlineStr">
        <is>
          <t>Merrivale Maritime Group</t>
        </is>
      </c>
      <c r="C18" t="inlineStr">
        <is>
          <t>SOW-2025-020</t>
        </is>
      </c>
      <c r="D18" t="inlineStr">
        <is>
          <t>PO-31467</t>
        </is>
      </c>
      <c r="E18" t="inlineStr">
        <is>
          <t>2026-05</t>
        </is>
      </c>
      <c r="F18" t="inlineStr">
        <is>
          <t>2026-06-07</t>
        </is>
      </c>
      <c r="G18" t="inlineStr">
        <is>
          <t>2026-07-07</t>
        </is>
      </c>
      <c r="H18" s="6" t="n">
        <v>40391.11</v>
      </c>
      <c r="I18" s="6" t="n">
        <v>-8078.19</v>
      </c>
      <c r="J18" s="6" t="n">
        <v>32312.92</v>
      </c>
      <c r="K18" s="6" t="n">
        <v>6462.58</v>
      </c>
      <c r="L18" s="6" t="n">
        <v>38775.5</v>
      </c>
      <c r="M18" t="inlineStr">
        <is>
          <t>Net 30 days from date of issue</t>
        </is>
      </c>
      <c r="N18" t="inlineStr">
        <is>
          <t>scan_20260814_117572.pdf</t>
        </is>
      </c>
      <c r="O18" t="inlineStr">
        <is>
          <t>1</t>
        </is>
      </c>
    </row>
    <row r="19">
      <c r="A19" t="inlineStr">
        <is>
          <t>INV-2026-2702</t>
        </is>
      </c>
      <c r="B19" t="inlineStr">
        <is>
          <t>Merrivale Maritime Group</t>
        </is>
      </c>
      <c r="C19" t="inlineStr">
        <is>
          <t>SOW-2025-020</t>
        </is>
      </c>
      <c r="D19" t="inlineStr">
        <is>
          <t>PO-38818</t>
        </is>
      </c>
      <c r="E19" t="inlineStr">
        <is>
          <t>2026-06</t>
        </is>
      </c>
      <c r="F19" t="inlineStr">
        <is>
          <t>2026-07-06</t>
        </is>
      </c>
      <c r="G19" t="inlineStr">
        <is>
          <t>2026-08-05</t>
        </is>
      </c>
      <c r="H19" s="6" t="n">
        <v>41396.37</v>
      </c>
      <c r="I19" s="6" t="n">
        <v>-7173.7</v>
      </c>
      <c r="J19" s="6" t="n">
        <v>34222.67</v>
      </c>
      <c r="K19" s="6" t="n">
        <v>6844.53</v>
      </c>
      <c r="L19" s="6" t="n">
        <v>41067.2</v>
      </c>
      <c r="M19" t="inlineStr">
        <is>
          <t>Net 30 days from date of issue</t>
        </is>
      </c>
      <c r="N19" t="inlineStr">
        <is>
          <t>INV-2026-2702.pdf</t>
        </is>
      </c>
      <c r="O19" t="inlineStr">
        <is>
          <t>1</t>
        </is>
      </c>
    </row>
    <row r="20">
      <c r="A20" t="inlineStr">
        <is>
          <t>INV-2026-2718</t>
        </is>
      </c>
      <c r="B20" t="inlineStr">
        <is>
          <t>Merrivale Maritime Group</t>
        </is>
      </c>
      <c r="C20" t="inlineStr">
        <is>
          <t>SOW-2025-020</t>
        </is>
      </c>
      <c r="D20" t="inlineStr">
        <is>
          <t>PO-82590</t>
        </is>
      </c>
      <c r="E20" t="inlineStr">
        <is>
          <t>2026-07</t>
        </is>
      </c>
      <c r="F20" t="inlineStr">
        <is>
          <t>2026-08-09</t>
        </is>
      </c>
      <c r="G20" t="inlineStr">
        <is>
          <t>2026-09-08</t>
        </is>
      </c>
      <c r="H20" s="6" t="n">
        <v>56180.25</v>
      </c>
      <c r="I20" s="6" t="n">
        <v>-11957.67</v>
      </c>
      <c r="J20" s="6" t="n">
        <v>44222.58</v>
      </c>
      <c r="K20" s="6" t="n">
        <v>8844.52</v>
      </c>
      <c r="L20" s="6" t="n">
        <v>53067.1</v>
      </c>
      <c r="M20" t="inlineStr">
        <is>
          <t>Net 30 days from date of issue</t>
        </is>
      </c>
      <c r="N20" t="inlineStr">
        <is>
          <t>scan_20260814_117770.pdf</t>
        </is>
      </c>
      <c r="O20" t="inlineStr">
        <is>
          <t>1</t>
        </is>
      </c>
    </row>
    <row r="21">
      <c r="A21" t="inlineStr">
        <is>
          <t>INV-2026-2750</t>
        </is>
      </c>
      <c r="B21" t="inlineStr">
        <is>
          <t>Alderwick Maritime Corporation</t>
        </is>
      </c>
      <c r="C21" t="inlineStr">
        <is>
          <t>SOW-2025-021</t>
        </is>
      </c>
      <c r="D21" t="inlineStr">
        <is>
          <t>PO-41739</t>
        </is>
      </c>
      <c r="E21" t="inlineStr">
        <is>
          <t>2026-06</t>
        </is>
      </c>
      <c r="F21" t="inlineStr">
        <is>
          <t>2026-06-20</t>
        </is>
      </c>
      <c r="G21" t="inlineStr">
        <is>
          <t>2026-07-20</t>
        </is>
      </c>
      <c r="H21" s="6" t="n">
        <v>140834</v>
      </c>
      <c r="I21" s="6" t="n">
        <v>-20452.75</v>
      </c>
      <c r="J21" s="6" t="n">
        <v>120381.25</v>
      </c>
      <c r="K21" s="6" t="n">
        <v>24076.25</v>
      </c>
      <c r="L21" s="6" t="n">
        <v>144457.5</v>
      </c>
      <c r="M21" t="inlineStr">
        <is>
          <t>Net 30 days from date of issue</t>
        </is>
      </c>
      <c r="N21" t="inlineStr">
        <is>
          <t>scan_20260814_118011.pdf</t>
        </is>
      </c>
      <c r="O21" t="inlineStr">
        <is>
          <t>1</t>
        </is>
      </c>
    </row>
    <row r="22">
      <c r="A22" t="inlineStr">
        <is>
          <t>INV-2026-2862</t>
        </is>
      </c>
      <c r="B22" t="inlineStr">
        <is>
          <t>Kesterly Logistics Group</t>
        </is>
      </c>
      <c r="C22" t="inlineStr">
        <is>
          <t>SOW-2025-022</t>
        </is>
      </c>
      <c r="D22" t="inlineStr">
        <is>
          <t>PO-96182</t>
        </is>
      </c>
      <c r="E22" t="inlineStr">
        <is>
          <t>2026-05</t>
        </is>
      </c>
      <c r="F22" t="inlineStr">
        <is>
          <t>2026-06-08</t>
        </is>
      </c>
      <c r="G22" t="inlineStr">
        <is>
          <t>2026-07-08</t>
        </is>
      </c>
      <c r="H22" s="6" t="n">
        <v>35843.63</v>
      </c>
      <c r="I22" s="6" t="n">
        <v>-5969.38</v>
      </c>
      <c r="J22" s="6" t="n">
        <v>29874.25</v>
      </c>
      <c r="K22" s="6" t="n">
        <v>5974.85</v>
      </c>
      <c r="L22" s="6" t="n">
        <v>35849.1</v>
      </c>
      <c r="M22" t="inlineStr">
        <is>
          <t>Net 30 days from date of issue</t>
        </is>
      </c>
      <c r="N22" t="inlineStr">
        <is>
          <t>INV-2026-2862.pdf</t>
        </is>
      </c>
      <c r="O22" t="inlineStr">
        <is>
          <t>1</t>
        </is>
      </c>
    </row>
    <row r="23">
      <c r="A23" t="inlineStr">
        <is>
          <t>INV-2026-2878</t>
        </is>
      </c>
      <c r="B23" t="inlineStr">
        <is>
          <t>Kesterly Logistics Group</t>
        </is>
      </c>
      <c r="C23" t="inlineStr">
        <is>
          <t>SOW-2025-022</t>
        </is>
      </c>
      <c r="D23" t="inlineStr">
        <is>
          <t>PO-56325</t>
        </is>
      </c>
      <c r="E23" t="inlineStr">
        <is>
          <t>2026-06</t>
        </is>
      </c>
      <c r="F23" t="inlineStr">
        <is>
          <t>2026-07-08</t>
        </is>
      </c>
      <c r="G23" t="inlineStr">
        <is>
          <t>2026-08-07</t>
        </is>
      </c>
      <c r="H23" s="6" t="n">
        <v>28406.94</v>
      </c>
      <c r="I23" s="6" t="n">
        <v>-2324.69</v>
      </c>
      <c r="J23" s="6" t="n">
        <v>26082.25</v>
      </c>
      <c r="K23" s="6" t="n">
        <v>5216.45</v>
      </c>
      <c r="L23" s="6" t="n">
        <v>31298.7</v>
      </c>
      <c r="M23" t="inlineStr">
        <is>
          <t>Net 30 days from date of issue</t>
        </is>
      </c>
      <c r="N23" t="inlineStr">
        <is>
          <t>INV-2026-2878.pdf</t>
        </is>
      </c>
      <c r="O23" t="inlineStr">
        <is>
          <t>1</t>
        </is>
      </c>
    </row>
    <row r="24">
      <c r="A24" t="inlineStr">
        <is>
          <t>INV-2026-2894</t>
        </is>
      </c>
      <c r="B24" t="inlineStr">
        <is>
          <t>Kesterly Logistics Group</t>
        </is>
      </c>
      <c r="C24" t="inlineStr">
        <is>
          <t>SOW-2025-022</t>
        </is>
      </c>
      <c r="D24" t="inlineStr">
        <is>
          <t>PO-97919</t>
        </is>
      </c>
      <c r="E24" t="inlineStr">
        <is>
          <t>2026-07</t>
        </is>
      </c>
      <c r="F24" t="inlineStr">
        <is>
          <t>2026-08-04</t>
        </is>
      </c>
      <c r="G24" t="inlineStr">
        <is>
          <t>2026-09-03</t>
        </is>
      </c>
      <c r="H24" s="6" t="n">
        <v>44410.62</v>
      </c>
      <c r="I24" s="6" t="n">
        <v>-9153.540000000001</v>
      </c>
      <c r="J24" s="6" t="n">
        <v>35257.08</v>
      </c>
      <c r="K24" s="6" t="n">
        <v>7051.42</v>
      </c>
      <c r="L24" s="6" t="n">
        <v>42308.5</v>
      </c>
      <c r="M24" t="inlineStr">
        <is>
          <t>Net 30 days from date of issue</t>
        </is>
      </c>
      <c r="N24" t="inlineStr">
        <is>
          <t>scan_20260814_118157.pdf</t>
        </is>
      </c>
      <c r="O24" t="inlineStr">
        <is>
          <t>1</t>
        </is>
      </c>
    </row>
    <row r="25">
      <c r="A25" t="inlineStr">
        <is>
          <t>INV-2026-3102</t>
        </is>
      </c>
      <c r="B25" t="inlineStr">
        <is>
          <t>Fernhollow Utilities Holdings</t>
        </is>
      </c>
      <c r="C25" t="inlineStr">
        <is>
          <t>SOW-2026-026</t>
        </is>
      </c>
      <c r="D25" t="inlineStr">
        <is>
          <t>PO-20726</t>
        </is>
      </c>
      <c r="E25" t="inlineStr">
        <is>
          <t>2026-07</t>
        </is>
      </c>
      <c r="F25" t="inlineStr">
        <is>
          <t>2026-07-17</t>
        </is>
      </c>
      <c r="G25" t="inlineStr">
        <is>
          <t>2026-08-16</t>
        </is>
      </c>
      <c r="H25" s="6" t="n">
        <v>198559.07</v>
      </c>
      <c r="I25" s="6" t="n">
        <v>-21255.37</v>
      </c>
      <c r="J25" s="6" t="n">
        <v>177303.7</v>
      </c>
      <c r="K25" s="6" t="n">
        <v>35460.74</v>
      </c>
      <c r="L25" s="6" t="n">
        <v>212764.44</v>
      </c>
      <c r="M25" t="inlineStr">
        <is>
          <t>Net 30 days from date of issue</t>
        </is>
      </c>
      <c r="N25" t="inlineStr">
        <is>
          <t>INV-2026-3102.pdf</t>
        </is>
      </c>
      <c r="O25" t="inlineStr">
        <is>
          <t>1</t>
        </is>
      </c>
    </row>
    <row r="26">
      <c r="A26" t="inlineStr">
        <is>
          <t>INV-2026-3214</t>
        </is>
      </c>
      <c r="B26" t="inlineStr">
        <is>
          <t>Merrivale Maritime Group</t>
        </is>
      </c>
      <c r="C26" t="inlineStr">
        <is>
          <t>SOW-2025-027</t>
        </is>
      </c>
      <c r="D26" t="inlineStr">
        <is>
          <t>PO-54247</t>
        </is>
      </c>
      <c r="E26" t="inlineStr">
        <is>
          <t>2026-05</t>
        </is>
      </c>
      <c r="F26" t="inlineStr">
        <is>
          <t>2026-06-04</t>
        </is>
      </c>
      <c r="G26" t="inlineStr">
        <is>
          <t>2026-07-04</t>
        </is>
      </c>
      <c r="H26" s="6" t="n">
        <v>28681.16</v>
      </c>
      <c r="I26" s="6" t="n">
        <v>-2841.83</v>
      </c>
      <c r="J26" s="6" t="n">
        <v>25839.33</v>
      </c>
      <c r="K26" s="6" t="n">
        <v>5167.87</v>
      </c>
      <c r="L26" s="6" t="n">
        <v>31007.2</v>
      </c>
      <c r="M26" t="inlineStr">
        <is>
          <t>Net 30 days from date of issue</t>
        </is>
      </c>
      <c r="N26" t="inlineStr">
        <is>
          <t>INV-2026-3214.pdf</t>
        </is>
      </c>
      <c r="O26" t="inlineStr">
        <is>
          <t>1</t>
        </is>
      </c>
    </row>
    <row r="27">
      <c r="A27" t="inlineStr">
        <is>
          <t>INV-2026-3230</t>
        </is>
      </c>
      <c r="B27" t="inlineStr">
        <is>
          <t>Merrivale Maritime Group</t>
        </is>
      </c>
      <c r="C27" t="inlineStr">
        <is>
          <t>SOW-2025-027</t>
        </is>
      </c>
      <c r="D27" t="inlineStr">
        <is>
          <t>PO-68005</t>
        </is>
      </c>
      <c r="E27" t="inlineStr">
        <is>
          <t>2026-06</t>
        </is>
      </c>
      <c r="F27" t="inlineStr">
        <is>
          <t>2026-07-07</t>
        </is>
      </c>
      <c r="G27" s="7" t="inlineStr">
        <is>
          <t>2026-08-06</t>
        </is>
      </c>
      <c r="H27" s="6" t="n">
        <v>20039.2</v>
      </c>
      <c r="I27" s="6" t="n">
        <v>-1797.37</v>
      </c>
      <c r="J27" s="6" t="n">
        <v>18241.83</v>
      </c>
      <c r="K27" s="6" t="n">
        <v>3648.37</v>
      </c>
      <c r="L27" s="6" t="n">
        <v>21890.2</v>
      </c>
      <c r="M27" t="inlineStr">
        <is>
          <t>Net 30 days from date of issue</t>
        </is>
      </c>
      <c r="N27" t="inlineStr">
        <is>
          <t>INV-2026-3230.pdf</t>
        </is>
      </c>
      <c r="O27" t="inlineStr">
        <is>
          <t>1</t>
        </is>
      </c>
    </row>
    <row r="28">
      <c r="A28" t="inlineStr">
        <is>
          <t>INV-2026-3246</t>
        </is>
      </c>
      <c r="B28" t="inlineStr">
        <is>
          <t>Merrivale Maritime Group</t>
        </is>
      </c>
      <c r="C28" t="inlineStr">
        <is>
          <t>SOW-2025-027</t>
        </is>
      </c>
      <c r="D28" t="inlineStr">
        <is>
          <t>PO-74287</t>
        </is>
      </c>
      <c r="E28" t="inlineStr">
        <is>
          <t>2026-07</t>
        </is>
      </c>
      <c r="F28" t="inlineStr">
        <is>
          <t>2026-08-06</t>
        </is>
      </c>
      <c r="G28" t="inlineStr">
        <is>
          <t>2026-09-05</t>
        </is>
      </c>
      <c r="H28" s="6" t="n">
        <v>35925.9</v>
      </c>
      <c r="I28" s="6" t="n">
        <v>-3867.48</v>
      </c>
      <c r="J28" s="6" t="n">
        <v>32058.42</v>
      </c>
      <c r="K28" s="6" t="n">
        <v>6411.68</v>
      </c>
      <c r="L28" s="6" t="n">
        <v>38470.1</v>
      </c>
      <c r="M28" t="inlineStr">
        <is>
          <t>Net 30 days from date of issue</t>
        </is>
      </c>
      <c r="N28" t="inlineStr">
        <is>
          <t>INV-2026-3246.pdf</t>
        </is>
      </c>
      <c r="O28" t="inlineStr">
        <is>
          <t>1</t>
        </is>
      </c>
    </row>
    <row r="29">
      <c r="A29" t="inlineStr">
        <is>
          <t>INV-2026-3390</t>
        </is>
      </c>
      <c r="B29" t="inlineStr">
        <is>
          <t>Kesterly Logistics Group</t>
        </is>
      </c>
      <c r="C29" t="inlineStr">
        <is>
          <t>SOW-2025-028</t>
        </is>
      </c>
      <c r="D29" t="inlineStr">
        <is>
          <t>PO-33035</t>
        </is>
      </c>
      <c r="E29" t="inlineStr">
        <is>
          <t>2026-05</t>
        </is>
      </c>
      <c r="F29" t="inlineStr">
        <is>
          <t>2026-06-03</t>
        </is>
      </c>
      <c r="G29" t="inlineStr">
        <is>
          <t>2026-07-03</t>
        </is>
      </c>
      <c r="H29" s="6" t="n">
        <v>37069.81</v>
      </c>
      <c r="I29" s="6" t="n">
        <v>-5908.56</v>
      </c>
      <c r="J29" s="6" t="n">
        <v>31161.25</v>
      </c>
      <c r="K29" s="6" t="n">
        <v>6232.25</v>
      </c>
      <c r="L29" s="6" t="n">
        <v>37393.5</v>
      </c>
      <c r="M29" t="inlineStr">
        <is>
          <t>Net 30 days from date of issue</t>
        </is>
      </c>
      <c r="N29" t="inlineStr">
        <is>
          <t>INV-2026-3390.pdf</t>
        </is>
      </c>
      <c r="O29" t="inlineStr">
        <is>
          <t>1</t>
        </is>
      </c>
    </row>
    <row r="30">
      <c r="A30" t="inlineStr">
        <is>
          <t>INV-2026-3406</t>
        </is>
      </c>
      <c r="B30" t="inlineStr">
        <is>
          <t>Kesterly Logistics Group</t>
        </is>
      </c>
      <c r="C30" t="inlineStr">
        <is>
          <t>SOW-2025-028</t>
        </is>
      </c>
      <c r="D30" t="inlineStr">
        <is>
          <t>PO-12904</t>
        </is>
      </c>
      <c r="E30" t="inlineStr">
        <is>
          <t>2026-06</t>
        </is>
      </c>
      <c r="F30" t="inlineStr">
        <is>
          <t>2026-07-08</t>
        </is>
      </c>
      <c r="G30" t="inlineStr">
        <is>
          <t>2026-08-07</t>
        </is>
      </c>
      <c r="H30" s="6" t="n">
        <v>40288.16</v>
      </c>
      <c r="I30" s="6" t="n">
        <v>-2287.33</v>
      </c>
      <c r="J30" s="6" t="n">
        <v>38000.83</v>
      </c>
      <c r="K30" s="6" t="n">
        <v>7600.17</v>
      </c>
      <c r="L30" s="6" t="n">
        <v>45601</v>
      </c>
      <c r="M30" t="inlineStr">
        <is>
          <t>Net 30 days from date of issue</t>
        </is>
      </c>
      <c r="N30" t="inlineStr">
        <is>
          <t>scan_20260814_118332.pdf</t>
        </is>
      </c>
      <c r="O30" t="inlineStr">
        <is>
          <t>1</t>
        </is>
      </c>
    </row>
    <row r="31">
      <c r="A31" t="inlineStr">
        <is>
          <t>INV-2026-3422</t>
        </is>
      </c>
      <c r="B31" t="inlineStr">
        <is>
          <t>Kesterly Logistics Group</t>
        </is>
      </c>
      <c r="C31" t="inlineStr">
        <is>
          <t>SOW-2025-028</t>
        </is>
      </c>
      <c r="D31" t="inlineStr">
        <is>
          <t>PO-88822</t>
        </is>
      </c>
      <c r="E31" t="inlineStr">
        <is>
          <t>2026-07</t>
        </is>
      </c>
      <c r="F31" t="inlineStr">
        <is>
          <t>2026-08-08</t>
        </is>
      </c>
      <c r="G31" t="inlineStr">
        <is>
          <t>2026-09-07</t>
        </is>
      </c>
      <c r="H31" s="6" t="n">
        <v>42202.52</v>
      </c>
      <c r="I31" s="6" t="n">
        <v>-8970.1</v>
      </c>
      <c r="J31" s="6" t="n">
        <v>33232.42</v>
      </c>
      <c r="K31" s="6" t="n">
        <v>6646.48</v>
      </c>
      <c r="L31" s="6" t="n">
        <v>39878.9</v>
      </c>
      <c r="M31" t="inlineStr">
        <is>
          <t>Net 30 days from date of issue</t>
        </is>
      </c>
      <c r="N31" t="inlineStr">
        <is>
          <t>scan_20260814_118934.pdf</t>
        </is>
      </c>
      <c r="O31" t="inlineStr">
        <is>
          <t>1</t>
        </is>
      </c>
    </row>
    <row r="32">
      <c r="A32" t="inlineStr">
        <is>
          <t>INV-2026-3550</t>
        </is>
      </c>
      <c r="B32" t="inlineStr">
        <is>
          <t>Dunmarch Municipal Group</t>
        </is>
      </c>
      <c r="C32" t="inlineStr">
        <is>
          <t>SOW-2025-029</t>
        </is>
      </c>
      <c r="D32" t="inlineStr">
        <is>
          <t>PO-49033</t>
        </is>
      </c>
      <c r="E32" t="inlineStr">
        <is>
          <t>2026-05</t>
        </is>
      </c>
      <c r="F32" t="inlineStr">
        <is>
          <t>2026-06-04</t>
        </is>
      </c>
      <c r="G32" t="inlineStr">
        <is>
          <t>2026-07-04</t>
        </is>
      </c>
      <c r="H32" s="6" t="n">
        <v>31127.53</v>
      </c>
      <c r="I32" s="6" t="n">
        <v>-4304.03</v>
      </c>
      <c r="J32" s="6" t="n">
        <v>26823.5</v>
      </c>
      <c r="K32" s="6" t="n">
        <v>5364.7</v>
      </c>
      <c r="L32" s="6" t="n">
        <v>32188.2</v>
      </c>
      <c r="M32" t="inlineStr">
        <is>
          <t>Net 30 days from date of issue</t>
        </is>
      </c>
      <c r="N32" t="inlineStr">
        <is>
          <t>INV-2026-3550.pdf</t>
        </is>
      </c>
      <c r="O32" t="inlineStr">
        <is>
          <t>1</t>
        </is>
      </c>
    </row>
    <row r="33">
      <c r="A33" t="inlineStr">
        <is>
          <t>INV-2026-3566</t>
        </is>
      </c>
      <c r="B33" t="inlineStr">
        <is>
          <t>Dunmarch Municipal Group</t>
        </is>
      </c>
      <c r="C33" t="inlineStr">
        <is>
          <t>SOW-2025-029</t>
        </is>
      </c>
      <c r="D33" t="inlineStr">
        <is>
          <t>PO-36084</t>
        </is>
      </c>
      <c r="E33" t="inlineStr">
        <is>
          <t>2026-06</t>
        </is>
      </c>
      <c r="F33" t="inlineStr">
        <is>
          <t>2026-07-05</t>
        </is>
      </c>
      <c r="G33" t="inlineStr">
        <is>
          <t>2026-08-04</t>
        </is>
      </c>
      <c r="H33" s="6" t="n">
        <v>34223.05</v>
      </c>
      <c r="I33" s="6" t="n">
        <v>-4960.05</v>
      </c>
      <c r="J33" s="6" t="n">
        <v>29263</v>
      </c>
      <c r="K33" s="6" t="n">
        <v>5852.6</v>
      </c>
      <c r="L33" s="6" t="n">
        <v>35115.6</v>
      </c>
      <c r="M33" t="inlineStr">
        <is>
          <t>Net 30 days from date of issue</t>
        </is>
      </c>
      <c r="N33" t="inlineStr">
        <is>
          <t>scan_20260814_119570.pdf</t>
        </is>
      </c>
      <c r="O33" t="inlineStr">
        <is>
          <t>1</t>
        </is>
      </c>
    </row>
    <row r="34">
      <c r="A34" t="inlineStr">
        <is>
          <t>INV-2026-3582</t>
        </is>
      </c>
      <c r="B34" t="inlineStr">
        <is>
          <t>Dunmarch Municipal Group</t>
        </is>
      </c>
      <c r="C34" t="inlineStr">
        <is>
          <t>SOW-2025-029</t>
        </is>
      </c>
      <c r="D34" t="inlineStr">
        <is>
          <t>PO-71191</t>
        </is>
      </c>
      <c r="E34" t="inlineStr">
        <is>
          <t>2026-07</t>
        </is>
      </c>
      <c r="F34" t="inlineStr">
        <is>
          <t>2026-08-08</t>
        </is>
      </c>
      <c r="G34" t="inlineStr">
        <is>
          <t>2026-09-07</t>
        </is>
      </c>
      <c r="H34" s="6" t="n"/>
      <c r="I34" s="6" t="n"/>
      <c r="J34" s="6" t="n"/>
      <c r="K34" s="6" t="n"/>
      <c r="L34" s="8" t="n"/>
      <c r="N34" t="inlineStr">
        <is>
          <t>scan_20260814_120023.pdf</t>
        </is>
      </c>
      <c r="O34" t="inlineStr">
        <is>
          <t>1</t>
        </is>
      </c>
    </row>
    <row r="35">
      <c r="A35" t="inlineStr">
        <is>
          <t>INV-2026-3646</t>
        </is>
      </c>
      <c r="B35" t="inlineStr">
        <is>
          <t>Granthorpe Media Trust</t>
        </is>
      </c>
      <c r="C35" t="inlineStr">
        <is>
          <t>SOW-2026-030</t>
        </is>
      </c>
      <c r="D35" t="inlineStr">
        <is>
          <t>PO-15814</t>
        </is>
      </c>
      <c r="E35" t="inlineStr">
        <is>
          <t>2026-05</t>
        </is>
      </c>
      <c r="F35" t="inlineStr">
        <is>
          <t>2026-06-07</t>
        </is>
      </c>
      <c r="G35" t="inlineStr">
        <is>
          <t>2026-07-07</t>
        </is>
      </c>
      <c r="H35" s="6" t="n">
        <v>21837.13</v>
      </c>
      <c r="I35" s="6" t="n">
        <v>-2861.8</v>
      </c>
      <c r="J35" s="6" t="n">
        <v>18975.33</v>
      </c>
      <c r="K35" s="6" t="n">
        <v>3795.07</v>
      </c>
      <c r="L35" s="6" t="n">
        <v>22770.4</v>
      </c>
      <c r="M35" t="inlineStr">
        <is>
          <t>Net 30 days from date of issue</t>
        </is>
      </c>
      <c r="N35" t="inlineStr">
        <is>
          <t>scan_20260814_120516.pdf</t>
        </is>
      </c>
      <c r="O35" t="inlineStr">
        <is>
          <t>1</t>
        </is>
      </c>
    </row>
    <row r="36">
      <c r="A36" t="inlineStr">
        <is>
          <t>INV-2026-3662</t>
        </is>
      </c>
      <c r="B36" t="inlineStr">
        <is>
          <t>Granthorpe Media Trust</t>
        </is>
      </c>
      <c r="C36" t="inlineStr">
        <is>
          <t>SOW-2026-030</t>
        </is>
      </c>
      <c r="D36" t="inlineStr">
        <is>
          <t>PO-10538</t>
        </is>
      </c>
      <c r="E36" t="inlineStr">
        <is>
          <t>2026-06</t>
        </is>
      </c>
      <c r="F36" t="inlineStr">
        <is>
          <t>2026-07-04</t>
        </is>
      </c>
      <c r="G36" t="inlineStr">
        <is>
          <t>2026-08-03</t>
        </is>
      </c>
      <c r="H36" s="6" t="n">
        <v>36201.05</v>
      </c>
      <c r="I36" s="6" t="n">
        <v>-6754.22</v>
      </c>
      <c r="J36" s="6" t="n">
        <v>29446.83</v>
      </c>
      <c r="K36" s="6" t="n">
        <v>5889.37</v>
      </c>
      <c r="L36" s="6" t="n">
        <v>35336.2</v>
      </c>
      <c r="M36" t="inlineStr">
        <is>
          <t>Net 30 days from date of issue</t>
        </is>
      </c>
      <c r="N36" t="inlineStr">
        <is>
          <t>scan_20260814_121060.pdf</t>
        </is>
      </c>
      <c r="O36" t="inlineStr">
        <is>
          <t>1</t>
        </is>
      </c>
    </row>
    <row r="37">
      <c r="A37" t="inlineStr">
        <is>
          <t>INV-2026-3678</t>
        </is>
      </c>
      <c r="B37" t="inlineStr">
        <is>
          <t>Granthorpe Media Trust</t>
        </is>
      </c>
      <c r="C37" t="inlineStr">
        <is>
          <t>SOW-2026-030</t>
        </is>
      </c>
      <c r="D37" t="inlineStr">
        <is>
          <t>PO-32017</t>
        </is>
      </c>
      <c r="E37" t="inlineStr">
        <is>
          <t>2026-07</t>
        </is>
      </c>
      <c r="F37" t="inlineStr">
        <is>
          <t>2026-08-06</t>
        </is>
      </c>
      <c r="G37" t="inlineStr">
        <is>
          <t>2026-09-05</t>
        </is>
      </c>
      <c r="H37" s="6" t="n">
        <v>37236.93</v>
      </c>
      <c r="I37" s="6" t="n">
        <v>-2431.1</v>
      </c>
      <c r="J37" s="6" t="n">
        <v>34805.83</v>
      </c>
      <c r="K37" s="6" t="n">
        <v>6961.17</v>
      </c>
      <c r="L37" s="6" t="n">
        <v>41767</v>
      </c>
      <c r="M37" t="inlineStr">
        <is>
          <t>Net 30 days from date of issue</t>
        </is>
      </c>
      <c r="N37" t="inlineStr">
        <is>
          <t>INV-2026-3678.pdf</t>
        </is>
      </c>
      <c r="O37" t="inlineStr">
        <is>
          <t>1</t>
        </is>
      </c>
    </row>
    <row r="39">
      <c r="K39" s="2" t="inlineStr">
        <is>
          <t>TOTAL INVOICED</t>
        </is>
      </c>
      <c r="L39" s="3">
        <f>SUM(L2:L37)</f>
        <v/>
      </c>
    </row>
  </sheetData>
  <conditionalFormatting sqref="H2:L37">
    <cfRule type="cellIs" priority="1" operator="lessThan" dxfId="0">
      <formula>0</formula>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2" customWidth="1" min="4" max="4"/>
    <col width="11" customWidth="1" min="5" max="5"/>
    <col width="13" customWidth="1" min="6" max="6"/>
    <col width="13" customWidth="1" min="7" max="7"/>
    <col width="14" customWidth="1" min="8" max="8"/>
    <col width="15" customWidth="1" min="9" max="9"/>
    <col width="14" customWidth="1" min="10" max="10"/>
    <col width="12" customWidth="1" min="11" max="11"/>
    <col width="14" customWidth="1" min="12" max="12"/>
    <col width="30" customWidth="1" min="13" max="13"/>
    <col width="34" customWidth="1" min="14" max="14"/>
  </cols>
  <sheetData>
    <row r="1">
      <c r="A1" s="5" t="inlineStr">
        <is>
          <t>SOW</t>
        </is>
      </c>
      <c r="B1" s="5" t="inlineStr">
        <is>
          <t>Client</t>
        </is>
      </c>
      <c r="C1" s="5" t="inlineStr">
        <is>
          <t>Engagement</t>
        </is>
      </c>
      <c r="D1" s="5" t="inlineStr">
        <is>
          <t>Fee basis</t>
        </is>
      </c>
      <c r="E1" s="5" t="inlineStr">
        <is>
          <t>Start</t>
        </is>
      </c>
      <c r="F1" s="5" t="inlineStr">
        <is>
          <t>End</t>
        </is>
      </c>
      <c r="G1" s="5" t="inlineStr">
        <is>
          <t>Ceiling hours</t>
        </is>
      </c>
      <c r="H1" s="5" t="inlineStr">
        <is>
          <t>Ceiling amount</t>
        </is>
      </c>
      <c r="I1" s="5" t="inlineStr">
        <is>
          <t>Amended by</t>
        </is>
      </c>
      <c r="J1" s="5" t="inlineStr">
        <is>
          <t>Revised ceiling</t>
        </is>
      </c>
      <c r="K1" s="5" t="inlineStr">
        <is>
          <t>Revised end</t>
        </is>
      </c>
      <c r="L1" s="5" t="inlineStr">
        <is>
          <t>Current ceiling</t>
        </is>
      </c>
      <c r="M1" s="5" t="inlineStr">
        <is>
          <t>Source file</t>
        </is>
      </c>
      <c r="N1" s="5" t="inlineStr">
        <is>
          <t>Pages</t>
        </is>
      </c>
    </row>
    <row r="2">
      <c r="A2" t="inlineStr">
        <is>
          <t>SOW-2025-001</t>
        </is>
      </c>
      <c r="B2" t="inlineStr">
        <is>
          <t>Quarrymoor Media Collective</t>
        </is>
      </c>
      <c r="C2" t="inlineStr">
        <is>
          <t>Warehouse Automation Rollout</t>
        </is>
      </c>
      <c r="D2" t="inlineStr">
        <is>
          <t>Time and materials</t>
        </is>
      </c>
      <c r="E2" t="inlineStr">
        <is>
          <t>2025-10-24</t>
        </is>
      </c>
      <c r="F2" t="inlineStr">
        <is>
          <t>2026-11-29</t>
        </is>
      </c>
      <c r="G2" s="6" t="n">
        <v>3740</v>
      </c>
      <c r="H2" s="6" t="n">
        <v>964920</v>
      </c>
      <c r="I2" t="inlineStr">
        <is>
          <t>SOW-2025-001-A1</t>
        </is>
      </c>
      <c r="J2" s="9" t="n">
        <v>1100008.8</v>
      </c>
      <c r="K2" t="inlineStr">
        <is>
          <t>2027-03-03</t>
        </is>
      </c>
      <c r="L2" s="3">
        <f>IF(J2="",H2,J2)</f>
        <v/>
      </c>
      <c r="M2" t="inlineStr">
        <is>
          <t>Quarrymoor Media Collective - SOW - SOW-2025-001 FINAL v3 (signed).docx</t>
        </is>
      </c>
      <c r="N2" t="inlineStr">
        <is>
          <t>1</t>
        </is>
      </c>
    </row>
    <row r="3">
      <c r="A3" t="inlineStr">
        <is>
          <t>SOW-2025-003</t>
        </is>
      </c>
      <c r="B3" t="inlineStr">
        <is>
          <t>Underwood Utilities Collective</t>
        </is>
      </c>
      <c r="C3" t="inlineStr">
        <is>
          <t>Workforce Planning Rollout</t>
        </is>
      </c>
      <c r="D3" t="inlineStr">
        <is>
          <t>Time and materials</t>
        </is>
      </c>
      <c r="E3" t="inlineStr">
        <is>
          <t>2025-09-20</t>
        </is>
      </c>
      <c r="F3" t="inlineStr">
        <is>
          <t>2027-03-30</t>
        </is>
      </c>
      <c r="G3" s="6" t="n">
        <v>4200</v>
      </c>
      <c r="H3" s="6" t="n">
        <v>1150800</v>
      </c>
      <c r="L3" s="6">
        <f>H3</f>
        <v/>
      </c>
      <c r="M3" t="inlineStr">
        <is>
          <t>Underwood Utilities Collective - SOW - SOW-2025-003 FINAL v3 (signed).docx</t>
        </is>
      </c>
      <c r="N3" t="inlineStr">
        <is>
          <t>1</t>
        </is>
      </c>
    </row>
    <row r="4">
      <c r="A4" t="inlineStr">
        <is>
          <t>SOW-2025-005</t>
        </is>
      </c>
      <c r="B4" t="inlineStr">
        <is>
          <t>Ashcombe Agricultural Group</t>
        </is>
      </c>
      <c r="C4" t="inlineStr">
        <is>
          <t>Asset Register Programme</t>
        </is>
      </c>
      <c r="D4" t="inlineStr">
        <is>
          <t>Fixed fee</t>
        </is>
      </c>
      <c r="E4" t="inlineStr">
        <is>
          <t>2025-12-16</t>
        </is>
      </c>
      <c r="F4" t="inlineStr">
        <is>
          <t>2027-02-03</t>
        </is>
      </c>
      <c r="G4" s="6" t="n">
        <v>3120</v>
      </c>
      <c r="H4" s="6" t="n">
        <v>745929.6</v>
      </c>
      <c r="L4" s="6">
        <f>H4</f>
        <v/>
      </c>
      <c r="M4" t="inlineStr">
        <is>
          <t>Ashcombe Agricultural Group - SOW - SOW-2025-005 FINAL v3 (signed).docx</t>
        </is>
      </c>
      <c r="N4" t="inlineStr">
        <is>
          <t>1</t>
        </is>
      </c>
    </row>
    <row r="5">
      <c r="A5" t="inlineStr">
        <is>
          <t>SOW-2025-009</t>
        </is>
      </c>
      <c r="B5" t="inlineStr">
        <is>
          <t>Underwood Utilities Collective</t>
        </is>
      </c>
      <c r="C5" t="inlineStr">
        <is>
          <t>Workforce Planning Implementation</t>
        </is>
      </c>
      <c r="D5" t="inlineStr">
        <is>
          <t>Fixed fee</t>
        </is>
      </c>
      <c r="E5" t="inlineStr">
        <is>
          <t>2025-09-04</t>
        </is>
      </c>
      <c r="F5" t="inlineStr">
        <is>
          <t>2026-11-20</t>
        </is>
      </c>
      <c r="G5" s="6" t="n">
        <v>4610</v>
      </c>
      <c r="H5" s="6" t="n">
        <v>248924.46</v>
      </c>
      <c r="I5" t="inlineStr">
        <is>
          <t>SOW-2025-009-A3</t>
        </is>
      </c>
      <c r="J5" s="9" t="n">
        <v>321112.55</v>
      </c>
      <c r="K5" t="inlineStr">
        <is>
          <t>2027-02-21</t>
        </is>
      </c>
      <c r="L5" s="3">
        <f>IF(J5="",H5,J5)</f>
        <v/>
      </c>
      <c r="M5" t="inlineStr">
        <is>
          <t>Underwood Utilities Collective - SOW - SOW-2025-009 FINAL v3 (signed).docx</t>
        </is>
      </c>
      <c r="N5" t="inlineStr">
        <is>
          <t>1</t>
        </is>
      </c>
    </row>
    <row r="6">
      <c r="A6" t="inlineStr">
        <is>
          <t>SOW-2025-019</t>
        </is>
      </c>
      <c r="B6" t="inlineStr">
        <is>
          <t>Thornbury Energy Group</t>
        </is>
      </c>
      <c r="C6" t="inlineStr">
        <is>
          <t>Member Portal Modernisation</t>
        </is>
      </c>
      <c r="D6" t="inlineStr">
        <is>
          <t>Fixed fee</t>
        </is>
      </c>
      <c r="E6" t="inlineStr">
        <is>
          <t>2025-09-19</t>
        </is>
      </c>
      <c r="F6" t="inlineStr">
        <is>
          <t>2027-01-26</t>
        </is>
      </c>
      <c r="G6" s="6" t="n">
        <v>4740</v>
      </c>
      <c r="H6" s="6" t="n">
        <v>1251360</v>
      </c>
      <c r="I6" t="inlineStr">
        <is>
          <t>SOW-2025-019-A4</t>
        </is>
      </c>
      <c r="J6" s="9" t="n">
        <v>1751904</v>
      </c>
      <c r="K6" t="inlineStr">
        <is>
          <t>2027-05-02</t>
        </is>
      </c>
      <c r="L6" s="3">
        <f>IF(J6="",H6,J6)</f>
        <v/>
      </c>
      <c r="M6" t="inlineStr">
        <is>
          <t>Thornbury Energy Group - SOW - SOW-2025-019 FINAL v3 (signed).docx</t>
        </is>
      </c>
      <c r="N6" t="inlineStr">
        <is>
          <t>1</t>
        </is>
      </c>
    </row>
    <row r="7">
      <c r="A7" t="inlineStr">
        <is>
          <t>SOW-2025-020</t>
        </is>
      </c>
      <c r="B7" t="inlineStr">
        <is>
          <t>Merrivale Maritime Group</t>
        </is>
      </c>
      <c r="C7" t="inlineStr">
        <is>
          <t>Claims Assessment</t>
        </is>
      </c>
      <c r="D7" t="inlineStr">
        <is>
          <t>Time and materials</t>
        </is>
      </c>
      <c r="E7" t="inlineStr">
        <is>
          <t>2025-12-18</t>
        </is>
      </c>
      <c r="F7" t="inlineStr">
        <is>
          <t>2027-01-05</t>
        </is>
      </c>
      <c r="G7" s="6" t="n">
        <v>2120</v>
      </c>
      <c r="H7" s="6" t="n">
        <v>672040</v>
      </c>
      <c r="L7" s="6">
        <f>H7</f>
        <v/>
      </c>
      <c r="M7" t="inlineStr">
        <is>
          <t>Merrivale Maritime Group - SOW - SOW-2025-020 FINAL v3 (signed).docx</t>
        </is>
      </c>
      <c r="N7" t="inlineStr">
        <is>
          <t>1</t>
        </is>
      </c>
    </row>
    <row r="8">
      <c r="A8" t="inlineStr">
        <is>
          <t>SOW-2025-021</t>
        </is>
      </c>
      <c r="B8" t="inlineStr">
        <is>
          <t>Alderwick Maritime Corporation</t>
        </is>
      </c>
      <c r="C8" t="inlineStr">
        <is>
          <t>Pricing Optimisation</t>
        </is>
      </c>
      <c r="D8" t="inlineStr">
        <is>
          <t>Fixed fee</t>
        </is>
      </c>
      <c r="E8" t="inlineStr">
        <is>
          <t>2025-11-21</t>
        </is>
      </c>
      <c r="F8" t="inlineStr">
        <is>
          <t>2027-01-03</t>
        </is>
      </c>
      <c r="G8" s="6" t="n">
        <v>2040</v>
      </c>
      <c r="H8" s="6" t="n">
        <v>577830</v>
      </c>
      <c r="L8" s="6">
        <f>H8</f>
        <v/>
      </c>
      <c r="M8" t="inlineStr">
        <is>
          <t>Alderwick Maritime Corporation - SOW - SOW-2025-021 FINAL v3 (signed).docx</t>
        </is>
      </c>
      <c r="N8" t="inlineStr">
        <is>
          <t>1</t>
        </is>
      </c>
    </row>
    <row r="9">
      <c r="A9" t="inlineStr">
        <is>
          <t>SOW-2025-022</t>
        </is>
      </c>
      <c r="B9" t="inlineStr">
        <is>
          <t>Kesterly Logistics Group</t>
        </is>
      </c>
      <c r="C9" t="inlineStr">
        <is>
          <t>Payments Optimisation</t>
        </is>
      </c>
      <c r="D9" t="inlineStr">
        <is>
          <t>Time and materials</t>
        </is>
      </c>
      <c r="E9" t="inlineStr">
        <is>
          <t>2025-11-02</t>
        </is>
      </c>
      <c r="F9" t="inlineStr">
        <is>
          <t>2026-12-25</t>
        </is>
      </c>
      <c r="G9" s="6" t="n">
        <v>2660</v>
      </c>
      <c r="H9" s="6" t="n">
        <v>835240</v>
      </c>
      <c r="I9" t="inlineStr">
        <is>
          <t>SOW-2025-022-A5</t>
        </is>
      </c>
      <c r="J9" s="9" t="n">
        <v>1069107.2</v>
      </c>
      <c r="K9" t="inlineStr">
        <is>
          <t>2027-03-03</t>
        </is>
      </c>
      <c r="L9" s="3">
        <f>IF(J9="",H9,J9)</f>
        <v/>
      </c>
      <c r="M9" t="inlineStr">
        <is>
          <t>Kesterly Logistics Group - SOW - SOW-2025-022 FINAL v3 (signed).docx</t>
        </is>
      </c>
      <c r="N9" t="inlineStr">
        <is>
          <t>1</t>
        </is>
      </c>
    </row>
    <row r="10">
      <c r="A10" t="inlineStr">
        <is>
          <t>SOW-2025-027</t>
        </is>
      </c>
      <c r="B10" t="inlineStr">
        <is>
          <t>Merrivale Maritime Group</t>
        </is>
      </c>
      <c r="C10" t="inlineStr">
        <is>
          <t>Supply Chain Optimisation</t>
        </is>
      </c>
      <c r="D10" t="inlineStr">
        <is>
          <t>Time and materials</t>
        </is>
      </c>
      <c r="E10" t="inlineStr">
        <is>
          <t>2025-11-08</t>
        </is>
      </c>
      <c r="F10" t="inlineStr">
        <is>
          <t>2027-02-12</t>
        </is>
      </c>
      <c r="G10" s="6" t="n">
        <v>1800</v>
      </c>
      <c r="H10" s="6" t="n">
        <v>518400</v>
      </c>
      <c r="L10" s="6">
        <f>H10</f>
        <v/>
      </c>
      <c r="M10" t="inlineStr">
        <is>
          <t>Merrivale Maritime Group - SOW - SOW-2025-027 FINAL v3 (signed).docx</t>
        </is>
      </c>
      <c r="N10" t="inlineStr">
        <is>
          <t>1</t>
        </is>
      </c>
    </row>
    <row r="11">
      <c r="A11" t="inlineStr">
        <is>
          <t>SOW-2025-028</t>
        </is>
      </c>
      <c r="B11" t="inlineStr">
        <is>
          <t>Kesterly Logistics Group</t>
        </is>
      </c>
      <c r="C11" t="inlineStr">
        <is>
          <t>Payments Modernisation</t>
        </is>
      </c>
      <c r="D11" t="inlineStr">
        <is>
          <t>Time and materials</t>
        </is>
      </c>
      <c r="E11" t="inlineStr">
        <is>
          <t>2025-09-01</t>
        </is>
      </c>
      <c r="F11" t="inlineStr">
        <is>
          <t>2027-03-10</t>
        </is>
      </c>
      <c r="G11" s="6" t="n">
        <v>3280</v>
      </c>
      <c r="H11" s="6" t="n">
        <v>820000</v>
      </c>
      <c r="I11" t="inlineStr">
        <is>
          <t>SOW-2025-028-A6</t>
        </is>
      </c>
      <c r="J11" s="9" t="n">
        <v>1049600</v>
      </c>
      <c r="K11" t="inlineStr">
        <is>
          <t>2027-04-10</t>
        </is>
      </c>
      <c r="L11" s="3">
        <f>IF(J11="",H11,J11)</f>
        <v/>
      </c>
      <c r="M11" t="inlineStr">
        <is>
          <t>Kesterly Logistics Group - SOW - SOW-2025-028 FINAL v3 (signed).docx</t>
        </is>
      </c>
      <c r="N11" t="inlineStr">
        <is>
          <t>1</t>
        </is>
      </c>
    </row>
    <row r="12">
      <c r="A12" t="inlineStr">
        <is>
          <t>SOW-2025-029</t>
        </is>
      </c>
      <c r="B12" t="inlineStr">
        <is>
          <t>Dunmarch Municipal Group</t>
        </is>
      </c>
      <c r="C12" t="inlineStr">
        <is>
          <t>Regulatory Reporting Migration</t>
        </is>
      </c>
      <c r="D12" t="inlineStr">
        <is>
          <t>Time and materials</t>
        </is>
      </c>
      <c r="E12" t="inlineStr">
        <is>
          <t>2025-10-31</t>
        </is>
      </c>
      <c r="F12" t="inlineStr">
        <is>
          <t>2027-06-01</t>
        </is>
      </c>
      <c r="G12" s="6" t="n">
        <v>1280</v>
      </c>
      <c r="H12" s="6" t="n">
        <v>322560</v>
      </c>
      <c r="L12" s="6">
        <f>H12</f>
        <v/>
      </c>
      <c r="M12" t="inlineStr">
        <is>
          <t>Dunmarch Municipal Group - SOW - SOW-2025-029 FINAL v3 (signed).docx</t>
        </is>
      </c>
      <c r="N12" t="inlineStr">
        <is>
          <t>1</t>
        </is>
      </c>
    </row>
    <row r="13">
      <c r="A13" t="inlineStr">
        <is>
          <t>SOW-2026-002</t>
        </is>
      </c>
      <c r="B13" t="inlineStr">
        <is>
          <t>Underwood Utilities Collective</t>
        </is>
      </c>
      <c r="C13" t="inlineStr">
        <is>
          <t>Customer Data Implementation</t>
        </is>
      </c>
      <c r="D13" t="inlineStr">
        <is>
          <t>Time and materials</t>
        </is>
      </c>
      <c r="E13" t="inlineStr">
        <is>
          <t>2026-01-08</t>
        </is>
      </c>
      <c r="F13" t="inlineStr">
        <is>
          <t>2027-05-04</t>
        </is>
      </c>
      <c r="G13" s="6" t="n">
        <v>1320</v>
      </c>
      <c r="H13" s="6" t="n">
        <v>390720</v>
      </c>
      <c r="L13" s="6">
        <f>H13</f>
        <v/>
      </c>
      <c r="M13" t="inlineStr">
        <is>
          <t>Underwood Utilities Collective - SOW - SOW-2026-002 FINAL v3 (signed).docx</t>
        </is>
      </c>
      <c r="N13" t="inlineStr">
        <is>
          <t>1</t>
        </is>
      </c>
    </row>
    <row r="14">
      <c r="A14" t="inlineStr">
        <is>
          <t>SOW-2026-004</t>
        </is>
      </c>
      <c r="B14" t="inlineStr">
        <is>
          <t>Westmoor Media Trust</t>
        </is>
      </c>
      <c r="C14" t="inlineStr">
        <is>
          <t>Inventory Programme</t>
        </is>
      </c>
      <c r="D14" t="inlineStr">
        <is>
          <t>Time and materials</t>
        </is>
      </c>
      <c r="E14" t="inlineStr">
        <is>
          <t>2026-01-23</t>
        </is>
      </c>
      <c r="F14" t="inlineStr">
        <is>
          <t>2026-10-01</t>
        </is>
      </c>
      <c r="G14" s="6" t="n">
        <v>1620</v>
      </c>
      <c r="H14" s="6" t="n">
        <v>489240</v>
      </c>
      <c r="I14" t="inlineStr">
        <is>
          <t>SOW-2026-004-A2</t>
        </is>
      </c>
      <c r="J14" s="9" t="n">
        <v>689828.4</v>
      </c>
      <c r="K14" t="inlineStr">
        <is>
          <t>2026-12-26</t>
        </is>
      </c>
      <c r="L14" s="3">
        <f>IF(J14="",H14,J14)</f>
        <v/>
      </c>
      <c r="M14" t="inlineStr">
        <is>
          <t>Westmoor Media Trust - SOW - SOW-2026-004 FINAL v3 (signed).docx</t>
        </is>
      </c>
      <c r="N14" t="inlineStr">
        <is>
          <t>1</t>
        </is>
      </c>
    </row>
    <row r="15">
      <c r="A15" t="inlineStr">
        <is>
          <t>SOW-2026-007</t>
        </is>
      </c>
      <c r="B15" t="inlineStr">
        <is>
          <t>Quarrymoor Media Collective</t>
        </is>
      </c>
      <c r="C15" t="inlineStr">
        <is>
          <t>Workforce Planning Assessment</t>
        </is>
      </c>
      <c r="D15" t="inlineStr">
        <is>
          <t>Fixed fee</t>
        </is>
      </c>
      <c r="E15" t="inlineStr">
        <is>
          <t>2026-02-07</t>
        </is>
      </c>
      <c r="F15" t="inlineStr">
        <is>
          <t>2027-01-14</t>
        </is>
      </c>
      <c r="G15" s="6" t="n">
        <v>2840</v>
      </c>
      <c r="H15" s="6" t="n">
        <v>784436.4</v>
      </c>
      <c r="L15" s="6">
        <f>H15</f>
        <v/>
      </c>
      <c r="M15" t="inlineStr">
        <is>
          <t>Quarrymoor Media Collective - SOW - SOW-2026-007 FINAL v3 (signed).docx</t>
        </is>
      </c>
      <c r="N15" t="inlineStr">
        <is>
          <t>1</t>
        </is>
      </c>
    </row>
    <row r="16">
      <c r="A16" t="inlineStr">
        <is>
          <t>SOW-2026-011</t>
        </is>
      </c>
      <c r="B16" t="inlineStr">
        <is>
          <t>Fernhollow Utilities Holdings</t>
        </is>
      </c>
      <c r="C16" t="inlineStr">
        <is>
          <t>Revenue Assurance Integration</t>
        </is>
      </c>
      <c r="D16" t="inlineStr">
        <is>
          <t>Fixed fee</t>
        </is>
      </c>
      <c r="E16" t="inlineStr">
        <is>
          <t>2026-02-11</t>
        </is>
      </c>
      <c r="F16" t="inlineStr">
        <is>
          <t>2027-04-03</t>
        </is>
      </c>
      <c r="G16" s="6" t="n">
        <v>660</v>
      </c>
      <c r="H16" s="6" t="n">
        <v>187308</v>
      </c>
      <c r="L16" s="6">
        <f>H16</f>
        <v/>
      </c>
      <c r="M16" t="inlineStr">
        <is>
          <t>Fernhollow Utilities Holdings - SOW - SOW-2026-011 FINAL v3 (signed).docx</t>
        </is>
      </c>
      <c r="N16" t="inlineStr">
        <is>
          <t>1</t>
        </is>
      </c>
    </row>
    <row r="17">
      <c r="A17" t="inlineStr">
        <is>
          <t>SOW-2026-014</t>
        </is>
      </c>
      <c r="B17" t="inlineStr">
        <is>
          <t>Thornbury Energy Group</t>
        </is>
      </c>
      <c r="C17" t="inlineStr">
        <is>
          <t>Revenue Assurance Optimisation</t>
        </is>
      </c>
      <c r="D17" t="inlineStr">
        <is>
          <t>Fixed fee</t>
        </is>
      </c>
      <c r="E17" t="inlineStr">
        <is>
          <t>2026-02-20</t>
        </is>
      </c>
      <c r="F17" t="inlineStr">
        <is>
          <t>2027-05-26</t>
        </is>
      </c>
      <c r="G17" s="6" t="n">
        <v>3620</v>
      </c>
      <c r="H17" s="6" t="n">
        <v>1231524</v>
      </c>
      <c r="L17" s="6">
        <f>H17</f>
        <v/>
      </c>
      <c r="M17" t="inlineStr">
        <is>
          <t>Thornbury Energy Group - SOW - SOW-2026-014 FINAL v3 (signed).docx</t>
        </is>
      </c>
      <c r="N17" t="inlineStr">
        <is>
          <t>1</t>
        </is>
      </c>
    </row>
    <row r="18">
      <c r="A18" t="inlineStr">
        <is>
          <t>SOW-2026-026</t>
        </is>
      </c>
      <c r="B18" t="inlineStr">
        <is>
          <t>Fernhollow Utilities Holdings</t>
        </is>
      </c>
      <c r="C18" t="inlineStr">
        <is>
          <t>Inventory Rollout</t>
        </is>
      </c>
      <c r="D18" t="inlineStr">
        <is>
          <t>Fixed fee</t>
        </is>
      </c>
      <c r="E18" t="inlineStr">
        <is>
          <t>2026-02-08</t>
        </is>
      </c>
      <c r="F18" t="inlineStr">
        <is>
          <t>2027-03-04</t>
        </is>
      </c>
      <c r="G18" s="6" t="n">
        <v>3520</v>
      </c>
      <c r="H18" s="6" t="n">
        <v>957440</v>
      </c>
      <c r="L18" s="6">
        <f>H18</f>
        <v/>
      </c>
      <c r="M18" t="inlineStr">
        <is>
          <t>Fernhollow Utilities Holdings - SOW - SOW-2026-026 FINAL v3 (signed).docx</t>
        </is>
      </c>
      <c r="N18" t="inlineStr">
        <is>
          <t>1</t>
        </is>
      </c>
    </row>
    <row r="19">
      <c r="A19" t="inlineStr">
        <is>
          <t>SOW-2026-030</t>
        </is>
      </c>
      <c r="B19" t="inlineStr">
        <is>
          <t>Granthorpe Media Trust</t>
        </is>
      </c>
      <c r="C19" t="inlineStr">
        <is>
          <t>Contact Centre Rollout</t>
        </is>
      </c>
      <c r="D19" t="inlineStr">
        <is>
          <t>Time and materials</t>
        </is>
      </c>
      <c r="E19" t="inlineStr">
        <is>
          <t>2026-02-23</t>
        </is>
      </c>
      <c r="F19" t="inlineStr">
        <is>
          <t>2026-08-21</t>
        </is>
      </c>
      <c r="G19" s="6" t="n">
        <v>980</v>
      </c>
      <c r="H19" s="6" t="n">
        <v>295960</v>
      </c>
      <c r="L19" s="6">
        <f>H19</f>
        <v/>
      </c>
      <c r="M19" t="inlineStr">
        <is>
          <t>Granthorpe Media Trust - SOW - SOW-2026-030 FINAL v3 (signed).docx</t>
        </is>
      </c>
      <c r="N19"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6" customWidth="1" min="3" max="3"/>
    <col width="74" customWidth="1" min="4" max="4"/>
    <col width="32" customWidth="1" min="5" max="5"/>
  </cols>
  <sheetData>
    <row r="1">
      <c r="A1" s="5" t="inlineStr">
        <is>
          <t>Document</t>
        </is>
      </c>
      <c r="B1" s="5" t="inlineStr">
        <is>
          <t>Type</t>
        </is>
      </c>
      <c r="C1" s="5" t="inlineStr">
        <is>
          <t>Issue</t>
        </is>
      </c>
      <c r="D1" s="5" t="inlineStr">
        <is>
          <t>Detail</t>
        </is>
      </c>
      <c r="E1" s="5" t="inlineStr">
        <is>
          <t>Source file</t>
        </is>
      </c>
    </row>
    <row r="2">
      <c r="A2" t="inlineStr">
        <is>
          <t>FW_ Your Meridian Print account.eml</t>
        </is>
      </c>
      <c r="B2" t="inlineStr">
        <is>
          <t>out_of_scope</t>
        </is>
      </c>
      <c r="C2" s="7" t="inlineStr">
        <is>
          <t>out of scope</t>
        </is>
      </c>
      <c r="D2" s="10" t="inlineStr">
        <is>
          <t>not the firm's paperwork; no fields extracted</t>
        </is>
      </c>
      <c r="E2" t="inlineStr">
        <is>
          <t>FW_ Your Meridian Print account.eml</t>
        </is>
      </c>
    </row>
    <row r="3">
      <c r="A3" t="inlineStr">
        <is>
          <t>INV-2026-0910</t>
        </is>
      </c>
      <c r="B3" t="inlineStr">
        <is>
          <t>invoice</t>
        </is>
      </c>
      <c r="C3" s="7" t="inlineStr">
        <is>
          <t>payment_terms contradicted</t>
        </is>
      </c>
      <c r="D3" s="10" t="inlineStr">
        <is>
          <t>a handwritten note in the lower left of the page reads 'net 14 days not 30 -- agreed w/ MJ 12/8', contradicting the printed terms; the printed value is recorded. The note, if honoured, would also bring the settlement date forward from the printed payment due date of 05 August 2026, which is recorded as printed</t>
        </is>
      </c>
      <c r="E3" t="inlineStr">
        <is>
          <t>scan_20260814_114827.pdf</t>
        </is>
      </c>
    </row>
    <row r="4">
      <c r="A4" t="inlineStr">
        <is>
          <t>INV-2026-1230</t>
        </is>
      </c>
      <c r="B4" t="inlineStr">
        <is>
          <t>invoice</t>
        </is>
      </c>
      <c r="C4" s="7" t="inlineStr">
        <is>
          <t>duplicate</t>
        </is>
      </c>
      <c r="D4" s="10" t="inlineStr">
        <is>
          <t>a second copy of INV-2026-1230; excluded from totals</t>
        </is>
      </c>
      <c r="E4" t="inlineStr">
        <is>
          <t>INV-2026-1230 (1).pdf</t>
        </is>
      </c>
    </row>
    <row r="5">
      <c r="A5" t="inlineStr">
        <is>
          <t>INV-2026-3582</t>
        </is>
      </c>
      <c r="B5" t="inlineStr">
        <is>
          <t>invoice</t>
        </is>
      </c>
      <c r="C5" s="11" t="inlineStr">
        <is>
          <t>total_due unreadable</t>
        </is>
      </c>
      <c r="D5" s="10" t="inlineStr">
        <is>
          <t>the scan ends mid-line-item partway down the description table and the totals block is below the page margin; the extent of what is missing cannot be determined from the scan</t>
        </is>
      </c>
      <c r="E5" t="inlineStr">
        <is>
          <t>scan_20260814_120023.pdf</t>
        </is>
      </c>
    </row>
    <row r="6">
      <c r="A6" t="inlineStr">
        <is>
          <t>SOW-2025-001-A1</t>
        </is>
      </c>
      <c r="B6" t="inlineStr">
        <is>
          <t>sow_amendment</t>
        </is>
      </c>
      <c r="C6" s="7" t="inlineStr">
        <is>
          <t>supersedes</t>
        </is>
      </c>
      <c r="D6" s="10" t="inlineStr">
        <is>
          <t>replaces SOW-2025-001, whose figures are stale</t>
        </is>
      </c>
      <c r="E6" t="inlineStr">
        <is>
          <t>Quarrymoor Media Collective - SOW-2025-001 amendment A1.docx</t>
        </is>
      </c>
    </row>
    <row r="7">
      <c r="A7" t="inlineStr">
        <is>
          <t>SOW-2025-009-A3</t>
        </is>
      </c>
      <c r="B7" t="inlineStr">
        <is>
          <t>sow_amendment</t>
        </is>
      </c>
      <c r="C7" s="7" t="inlineStr">
        <is>
          <t>supersedes</t>
        </is>
      </c>
      <c r="D7" s="10" t="inlineStr">
        <is>
          <t>replaces SOW-2025-009, whose figures are stale</t>
        </is>
      </c>
      <c r="E7" t="inlineStr">
        <is>
          <t>Underwood Utilities Collective - SOW-2025-009 amendment A3.docx</t>
        </is>
      </c>
    </row>
    <row r="8">
      <c r="A8" t="inlineStr">
        <is>
          <t>SOW-2025-019-A4</t>
        </is>
      </c>
      <c r="B8" t="inlineStr">
        <is>
          <t>sow_amendment</t>
        </is>
      </c>
      <c r="C8" s="7" t="inlineStr">
        <is>
          <t>supersedes</t>
        </is>
      </c>
      <c r="D8" s="10" t="inlineStr">
        <is>
          <t>replaces SOW-2025-019, whose figures are stale</t>
        </is>
      </c>
      <c r="E8" t="inlineStr">
        <is>
          <t>Thornbury Energy Group - SOW-2025-019 amendment A4.docx</t>
        </is>
      </c>
    </row>
    <row r="9">
      <c r="A9" t="inlineStr">
        <is>
          <t>SOW-2025-022-A5</t>
        </is>
      </c>
      <c r="B9" t="inlineStr">
        <is>
          <t>sow_amendment</t>
        </is>
      </c>
      <c r="C9" s="7" t="inlineStr">
        <is>
          <t>supersedes</t>
        </is>
      </c>
      <c r="D9" s="10" t="inlineStr">
        <is>
          <t>replaces SOW-2025-022, whose figures are stale</t>
        </is>
      </c>
      <c r="E9" t="inlineStr">
        <is>
          <t>Kesterly Logistics Group - SOW-2025-022 amendment A5.docx</t>
        </is>
      </c>
    </row>
    <row r="10">
      <c r="A10" t="inlineStr">
        <is>
          <t>SOW-2025-028-A6</t>
        </is>
      </c>
      <c r="B10" t="inlineStr">
        <is>
          <t>sow_amendment</t>
        </is>
      </c>
      <c r="C10" s="7" t="inlineStr">
        <is>
          <t>supersedes</t>
        </is>
      </c>
      <c r="D10" s="10" t="inlineStr">
        <is>
          <t>replaces SOW-2025-028, whose figures are stale</t>
        </is>
      </c>
      <c r="E10" t="inlineStr">
        <is>
          <t>Kesterly Logistics Group - SOW-2025-028 amendment A6.docx</t>
        </is>
      </c>
    </row>
    <row r="11">
      <c r="A11" t="inlineStr">
        <is>
          <t>SOW-2026-004-A2</t>
        </is>
      </c>
      <c r="B11" t="inlineStr">
        <is>
          <t>sow_amendment</t>
        </is>
      </c>
      <c r="C11" s="7" t="inlineStr">
        <is>
          <t>supersedes</t>
        </is>
      </c>
      <c r="D11" s="10" t="inlineStr">
        <is>
          <t>replaces SOW-2026-004, whose figures are stale</t>
        </is>
      </c>
      <c r="E11" t="inlineStr">
        <is>
          <t>Westmoor Media Trust - SOW-2026-004 amendment A2.docx</t>
        </is>
      </c>
    </row>
    <row r="12">
      <c r="A12" t="inlineStr">
        <is>
          <t>STM-2026-101</t>
        </is>
      </c>
      <c r="B12" t="inlineStr">
        <is>
          <t>statement</t>
        </is>
      </c>
      <c r="C12" s="11" t="inlineStr">
        <is>
          <t>invoice_count unreadable</t>
        </is>
      </c>
      <c r="D12" s="10" t="inlineStr">
        <is>
          <t>cell E16, against the 'INVOICES OUTSTANDING' label, holds the uncalculated formula =COUNT(E13:E13) with no stored result, so the workbook states no count; it can be recomputed from the invoice rows above but the statement does not assert it</t>
        </is>
      </c>
      <c r="E12" t="inlineStr">
        <is>
          <t>Statement of account - Granthorpe Media Trust - Aug 2026.xlsx</t>
        </is>
      </c>
    </row>
    <row r="13">
      <c r="A13" t="inlineStr">
        <is>
          <t>STM-2026-101</t>
        </is>
      </c>
      <c r="B13" t="inlineStr">
        <is>
          <t>statement</t>
        </is>
      </c>
      <c r="C13" s="11" t="inlineStr">
        <is>
          <t>total_outstanding unreadable</t>
        </is>
      </c>
      <c r="D13" s="10" t="inlineStr">
        <is>
          <t>cell E15, against the 'TOTAL OUTSTANDING' label, holds the uncalculated formula =SUM(E13:E13) with no stored result, so the workbook states no balance; it can be recomputed from the invoice rows above but the statement does not assert it</t>
        </is>
      </c>
      <c r="E13" t="inlineStr">
        <is>
          <t>Statement of account - Granthorpe Media Trust - Aug 2026.xlsx</t>
        </is>
      </c>
    </row>
    <row r="14">
      <c r="A14" t="inlineStr">
        <is>
          <t>STM-2026-102</t>
        </is>
      </c>
      <c r="B14" t="inlineStr">
        <is>
          <t>statement</t>
        </is>
      </c>
      <c r="C14" s="11" t="inlineStr">
        <is>
          <t>invoice_count unreadable</t>
        </is>
      </c>
      <c r="D14" s="10" t="inlineStr">
        <is>
          <t>cell E16, against the 'INVOICES OUTSTANDING' label, holds the uncalculated formula =COUNT(E13:E13) with no stored result, so the workbook states no count; it can be recomputed from the invoice rows above but the statement does not assert it</t>
        </is>
      </c>
      <c r="E14" t="inlineStr">
        <is>
          <t>Statement of account - Thornbury Energy Group - Aug 2026.xlsx</t>
        </is>
      </c>
    </row>
    <row r="15">
      <c r="A15" t="inlineStr">
        <is>
          <t>STM-2026-102</t>
        </is>
      </c>
      <c r="B15" t="inlineStr">
        <is>
          <t>statement</t>
        </is>
      </c>
      <c r="C15" s="11" t="inlineStr">
        <is>
          <t>total_outstanding unreadable</t>
        </is>
      </c>
      <c r="D15" s="10" t="inlineStr">
        <is>
          <t>cell E15, against the 'TOTAL OUTSTANDING' label, holds the uncalculated formula =SUM(E13:E13) with no stored result, so the workbook states no balance; it can be recomputed from the invoice rows above but the statement does not assert it</t>
        </is>
      </c>
      <c r="E15" t="inlineStr">
        <is>
          <t>Statement of account - Thornbury Energy Group - Aug 2026.xlsx</t>
        </is>
      </c>
    </row>
    <row r="16">
      <c r="A16" t="inlineStr">
        <is>
          <t>receipt_20260804_lunch.pdf</t>
        </is>
      </c>
      <c r="B16" t="inlineStr">
        <is>
          <t>out_of_scope</t>
        </is>
      </c>
      <c r="C16" s="7" t="inlineStr">
        <is>
          <t>out of scope</t>
        </is>
      </c>
      <c r="D16" s="10" t="inlineStr">
        <is>
          <t>not the firm's paperwork; no fields extracted</t>
        </is>
      </c>
      <c r="E16" t="inlineStr">
        <is>
          <t>receipt_20260804_lunch.pdf</t>
        </is>
      </c>
    </row>
    <row r="17">
      <c r="A17" t="inlineStr">
        <is>
          <t>scan_20260814_113255.pdf</t>
        </is>
      </c>
      <c r="B17" t="inlineStr">
        <is>
          <t>out_of_scope</t>
        </is>
      </c>
      <c r="C17" s="7" t="inlineStr">
        <is>
          <t>out of scope</t>
        </is>
      </c>
      <c r="D17" s="10" t="inlineStr">
        <is>
          <t>not the firm's paperwork; no fields extracted</t>
        </is>
      </c>
      <c r="E17" t="inlineStr">
        <is>
          <t>scan_20260814_113255.pdf</t>
        </is>
      </c>
    </row>
    <row r="18">
      <c r="A18" t="inlineStr">
        <is>
          <t>scan_20260814_123066.pdf</t>
        </is>
      </c>
      <c r="B18" t="inlineStr">
        <is>
          <t>out_of_scope</t>
        </is>
      </c>
      <c r="C18" s="7" t="inlineStr">
        <is>
          <t>out of scope</t>
        </is>
      </c>
      <c r="D18" s="10" t="inlineStr">
        <is>
          <t>not the firm's paperwork; no fields extracted</t>
        </is>
      </c>
      <c r="E18" t="inlineStr">
        <is>
          <t>scan_20260814_123066.pdf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20" customWidth="1" min="3" max="3"/>
    <col width="13" customWidth="1" min="4" max="4"/>
    <col width="18" customWidth="1" min="5" max="5"/>
    <col width="34" customWidth="1" min="6" max="6"/>
    <col width="52" customWidth="1" min="7" max="7"/>
    <col width="30" customWidth="1" min="8" max="8"/>
    <col width="16" customWidth="1" min="9" max="9"/>
  </cols>
  <sheetData>
    <row r="1">
      <c r="A1" s="5" t="inlineStr">
        <is>
          <t>Document</t>
        </is>
      </c>
      <c r="B1" s="5" t="inlineStr">
        <is>
          <t>Type</t>
        </is>
      </c>
      <c r="C1" s="5" t="inlineStr">
        <is>
          <t>Field</t>
        </is>
      </c>
      <c r="D1" s="5" t="inlineStr">
        <is>
          <t>Confidence</t>
        </is>
      </c>
      <c r="E1" s="5" t="inlineStr">
        <is>
          <t>Value</t>
        </is>
      </c>
      <c r="F1" s="5" t="inlineStr">
        <is>
          <t>Evidence</t>
        </is>
      </c>
      <c r="G1" s="5" t="inlineStr">
        <is>
          <t>Reason</t>
        </is>
      </c>
      <c r="H1" s="5" t="inlineStr">
        <is>
          <t>Source file</t>
        </is>
      </c>
      <c r="I1" s="5" t="inlineStr">
        <is>
          <t>Verdict</t>
        </is>
      </c>
    </row>
    <row r="2">
      <c r="A2" t="inlineStr">
        <is>
          <t>INV-2026-0910</t>
        </is>
      </c>
      <c r="B2" t="inlineStr">
        <is>
          <t>invoice</t>
        </is>
      </c>
      <c r="C2" t="inlineStr">
        <is>
          <t>payment_terms</t>
        </is>
      </c>
      <c r="D2" s="7" t="inlineStr">
        <is>
          <t>low</t>
        </is>
      </c>
      <c r="E2" t="inlineStr">
        <is>
          <t>Net 30 days from date of issue</t>
        </is>
      </c>
      <c r="F2" t="inlineStr">
        <is>
          <t>page 1, payment terms line below the totals block</t>
        </is>
      </c>
      <c r="G2" s="10" t="inlineStr">
        <is>
          <t>a handwritten note in the lower left of the page reads 'net 14 days not 30 -- agreed w/ MJ 12/8', contradicting the printed terms; the printed value is recorded. The note, if honoured, would also bring the settlement date forward from the printed payment due date of 05 August 2026, which is recorded as printed</t>
        </is>
      </c>
      <c r="H2" t="inlineStr">
        <is>
          <t>scan_20260814_114827.pdf</t>
        </is>
      </c>
    </row>
    <row r="3">
      <c r="A3" t="inlineStr">
        <is>
          <t>INV-2026-3230</t>
        </is>
      </c>
      <c r="B3" t="inlineStr">
        <is>
          <t>invoice</t>
        </is>
      </c>
      <c r="C3" t="inlineStr">
        <is>
          <t>due_date</t>
        </is>
      </c>
      <c r="D3" s="7" t="inlineStr">
        <is>
          <t>low</t>
        </is>
      </c>
      <c r="E3" t="inlineStr">
        <is>
          <t>2026-08-06</t>
        </is>
      </c>
      <c r="F3" t="inlineStr">
        <is>
          <t>page 1, header block, right-hand column, 'Payment due', printed 06/08/2026</t>
        </is>
      </c>
      <c r="G3" s="10" t="inlineStr">
        <is>
          <t>printed 06/08/2026 with no stated convention; read day-first as 6 August 2026 because the month-first reading (8 June 2026) falls before the 07/07/2026 issue date, and day-first agrees with the printed Net 30 terms and the June 2026 billing period</t>
        </is>
      </c>
      <c r="H3" t="inlineStr">
        <is>
          <t>INV-2026-3230.pdf</t>
        </is>
      </c>
    </row>
    <row r="4">
      <c r="A4" t="inlineStr">
        <is>
          <t>INV-2026-3582</t>
        </is>
      </c>
      <c r="B4" t="inlineStr">
        <is>
          <t>invoice</t>
        </is>
      </c>
      <c r="C4" t="inlineStr">
        <is>
          <t>total_due</t>
        </is>
      </c>
      <c r="D4" s="11" t="inlineStr">
        <is>
          <t>unreadable</t>
        </is>
      </c>
      <c r="F4" t="inlineStr"/>
      <c r="G4" s="10" t="inlineStr">
        <is>
          <t>the scan ends mid-line-item partway down the description table and the totals block is below the page margin; the extent of what is missing cannot be determined from the scan</t>
        </is>
      </c>
      <c r="H4" t="inlineStr">
        <is>
          <t>scan_20260814_120023.pdf</t>
        </is>
      </c>
    </row>
    <row r="5">
      <c r="A5" t="inlineStr">
        <is>
          <t>STM-2026-101</t>
        </is>
      </c>
      <c r="B5" t="inlineStr">
        <is>
          <t>statement</t>
        </is>
      </c>
      <c r="C5" t="inlineStr">
        <is>
          <t>invoice_count</t>
        </is>
      </c>
      <c r="D5" s="11" t="inlineStr">
        <is>
          <t>unreadable</t>
        </is>
      </c>
      <c r="F5" t="inlineStr"/>
      <c r="G5" s="10" t="inlineStr">
        <is>
          <t>cell E16, against the 'INVOICES OUTSTANDING' label, holds the uncalculated formula =COUNT(E13:E13) with no stored result, so the workbook states no count; it can be recomputed from the invoice rows above but the statement does not assert it</t>
        </is>
      </c>
      <c r="H5" t="inlineStr">
        <is>
          <t>Statement of account - Granthorpe Media Trust - Aug 2026.xlsx</t>
        </is>
      </c>
    </row>
    <row r="6">
      <c r="A6" t="inlineStr">
        <is>
          <t>STM-2026-101</t>
        </is>
      </c>
      <c r="B6" t="inlineStr">
        <is>
          <t>statement</t>
        </is>
      </c>
      <c r="C6" t="inlineStr">
        <is>
          <t>total_outstanding</t>
        </is>
      </c>
      <c r="D6" s="11" t="inlineStr">
        <is>
          <t>unreadable</t>
        </is>
      </c>
      <c r="F6" t="inlineStr"/>
      <c r="G6" s="10" t="inlineStr">
        <is>
          <t>cell E15, against the 'TOTAL OUTSTANDING' label, holds the uncalculated formula =SUM(E13:E13) with no stored result, so the workbook states no balance; it can be recomputed from the invoice rows above but the statement does not assert it</t>
        </is>
      </c>
      <c r="H6" t="inlineStr">
        <is>
          <t>Statement of account - Granthorpe Media Trust - Aug 2026.xlsx</t>
        </is>
      </c>
    </row>
    <row r="7">
      <c r="A7" t="inlineStr">
        <is>
          <t>STM-2026-102</t>
        </is>
      </c>
      <c r="B7" t="inlineStr">
        <is>
          <t>statement</t>
        </is>
      </c>
      <c r="C7" t="inlineStr">
        <is>
          <t>invoice_count</t>
        </is>
      </c>
      <c r="D7" s="11" t="inlineStr">
        <is>
          <t>unreadable</t>
        </is>
      </c>
      <c r="F7" t="inlineStr"/>
      <c r="G7" s="10" t="inlineStr">
        <is>
          <t>cell E16, against the 'INVOICES OUTSTANDING' label, holds the uncalculated formula =COUNT(E13:E13) with no stored result, so the workbook states no count; it can be recomputed from the invoice rows above but the statement does not assert it</t>
        </is>
      </c>
      <c r="H7" t="inlineStr">
        <is>
          <t>Statement of account - Thornbury Energy Group - Aug 2026.xlsx</t>
        </is>
      </c>
    </row>
    <row r="8">
      <c r="A8" t="inlineStr">
        <is>
          <t>STM-2026-102</t>
        </is>
      </c>
      <c r="B8" t="inlineStr">
        <is>
          <t>statement</t>
        </is>
      </c>
      <c r="C8" t="inlineStr">
        <is>
          <t>total_outstanding</t>
        </is>
      </c>
      <c r="D8" s="11" t="inlineStr">
        <is>
          <t>unreadable</t>
        </is>
      </c>
      <c r="F8" t="inlineStr"/>
      <c r="G8" s="10" t="inlineStr">
        <is>
          <t>cell E15, against the 'TOTAL OUTSTANDING' label, holds the uncalculated formula =SUM(E13:E13) with no stored result, so the workbook states no balance; it can be recomputed from the invoice rows above but the statement does not assert it</t>
        </is>
      </c>
      <c r="H8" t="inlineStr">
        <is>
          <t>Statement of account - Thornbury Energy Group - Aug 2026.xlsx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2026-09-04T04:26:40Z</dcterms:created>
  <dcterms:modified xmlns:dcterms="http://purl.org/dc/terms/" xmlns:xsi="http://www.w3.org/2001/XMLSchema-instance" xsi:type="dcterms:W3CDTF">2026-09-04T04:26:40Z</dcterms:modified>
</cp:coreProperties>
</file>